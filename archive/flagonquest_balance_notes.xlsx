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AS" sheetId="1" r:id="rId5"/>
    <sheet state="visible" name="Suits EVOLVED" sheetId="2" r:id="rId6"/>
    <sheet state="visible" name="Costs" sheetId="3" r:id="rId7"/>
    <sheet state="visible" name="Crafting Table" sheetId="4" r:id="rId8"/>
    <sheet state="visible" name="HExboys" sheetId="5" r:id="rId9"/>
    <sheet state="visible" name="DM Guide" sheetId="6" r:id="rId10"/>
    <sheet state="visible" name="BALANCE" sheetId="7" r:id="rId11"/>
    <sheet state="visible" name="THE TABEL" sheetId="8" r:id="rId12"/>
    <sheet state="visible" name="Baseline" sheetId="9" r:id="rId13"/>
    <sheet state="visible" name="Suits" sheetId="10" r:id="rId14"/>
    <sheet state="visible" name="Skills" sheetId="11" r:id="rId15"/>
    <sheet state="visible" name="Health" sheetId="12" r:id="rId16"/>
    <sheet state="visible" name="Equipment" sheetId="13" r:id="rId17"/>
    <sheet state="visible" name="Card Cheating" sheetId="14" r:id="rId18"/>
    <sheet state="visible" name="Sheet2" sheetId="15" r:id="rId19"/>
  </sheets>
  <definedNames>
    <definedName hidden="1" localSheetId="3" name="_xlnm._FilterDatabase">'Crafting Table'!$A$1:$J$102</definedName>
  </definedNames>
  <calcPr/>
</workbook>
</file>

<file path=xl/sharedStrings.xml><?xml version="1.0" encoding="utf-8"?>
<sst xmlns="http://schemas.openxmlformats.org/spreadsheetml/2006/main" count="1196" uniqueCount="577">
  <si>
    <t>Index</t>
  </si>
  <si>
    <t>Item</t>
  </si>
  <si>
    <t>Idea</t>
  </si>
  <si>
    <t>Average* Cost</t>
  </si>
  <si>
    <t>Created?</t>
  </si>
  <si>
    <t>Notes</t>
  </si>
  <si>
    <t>One-handed weapons</t>
  </si>
  <si>
    <t>♥  Hearts</t>
  </si>
  <si>
    <t>♣  Clubs</t>
  </si>
  <si>
    <t>Two-handed weapons</t>
  </si>
  <si>
    <t>Thrown weapons</t>
  </si>
  <si>
    <t>Generally sold as a unit, enough to not need to keep track of</t>
  </si>
  <si>
    <t>Light armor</t>
  </si>
  <si>
    <t>◆  Diamonds</t>
  </si>
  <si>
    <t>Item Name</t>
  </si>
  <si>
    <t>Heavy armor</t>
  </si>
  <si>
    <t>Doughweaving - it's like a spell that lets you summon shitty bread? Maybe the better your cooking the better bread you make?</t>
  </si>
  <si>
    <t>Basic clothing/jewelry</t>
  </si>
  <si>
    <t>♠  Spades</t>
  </si>
  <si>
    <t>Bag / backpack</t>
  </si>
  <si>
    <t>3 x "tier"</t>
  </si>
  <si>
    <t>Knapsack, Backpack, Rucksack, etc.</t>
  </si>
  <si>
    <t>Medicinal supply</t>
  </si>
  <si>
    <t>Skill kit</t>
  </si>
  <si>
    <t>Alchemical items</t>
  </si>
  <si>
    <t>Level</t>
  </si>
  <si>
    <t>2 x Level</t>
  </si>
  <si>
    <t>Masterwork items</t>
  </si>
  <si>
    <t>20 x Level</t>
  </si>
  <si>
    <t>Type</t>
  </si>
  <si>
    <t>Suit</t>
  </si>
  <si>
    <t>Base Item</t>
  </si>
  <si>
    <t>Base Mat A</t>
  </si>
  <si>
    <t>Base Mat B</t>
  </si>
  <si>
    <t>Opt Mat A</t>
  </si>
  <si>
    <t>Tarot Suit</t>
  </si>
  <si>
    <t>Opt Mat B</t>
  </si>
  <si>
    <t>Cups</t>
  </si>
  <si>
    <t>Duration</t>
  </si>
  <si>
    <t>In Use?</t>
  </si>
  <si>
    <t>Wands / Batons / Rods</t>
  </si>
  <si>
    <t>Coins / Pentacles</t>
  </si>
  <si>
    <t>Swords</t>
  </si>
  <si>
    <t>Playing Card Class</t>
  </si>
  <si>
    <t>Clergy / Church</t>
  </si>
  <si>
    <t>Power Snack</t>
  </si>
  <si>
    <t>Peasants / Laborers</t>
  </si>
  <si>
    <t>Merchants / Traders</t>
  </si>
  <si>
    <t>Nobility / Military</t>
  </si>
  <si>
    <t>Season</t>
  </si>
  <si>
    <t>Spring</t>
  </si>
  <si>
    <t>Summer</t>
  </si>
  <si>
    <t>Autumn</t>
  </si>
  <si>
    <t>Winter</t>
  </si>
  <si>
    <t>Element (Game)</t>
  </si>
  <si>
    <t>Brilliant</t>
  </si>
  <si>
    <t>Fire</t>
  </si>
  <si>
    <t>Shadow</t>
  </si>
  <si>
    <t>Frost</t>
  </si>
  <si>
    <t>Classical Element</t>
  </si>
  <si>
    <t>Water</t>
  </si>
  <si>
    <t>Earth</t>
  </si>
  <si>
    <t>Air</t>
  </si>
  <si>
    <t>Temperament</t>
  </si>
  <si>
    <t>Phlegmatic
(calm, empathetic, patient, sustaining)</t>
  </si>
  <si>
    <t>Choleric
(passionate, energetic, quick to act, ambitious)</t>
  </si>
  <si>
    <t>Melancholic
(analytical, precise, methodical, detail-focused)</t>
  </si>
  <si>
    <t>Sanguine
(communicative, intellectual, quick, curious)</t>
  </si>
  <si>
    <t>Alchemical Principle</t>
  </si>
  <si>
    <t>Mercury (mediation,
the dissolving agent,
what flows between)</t>
  </si>
  <si>
    <t>Sulfur (active spirit,
transformative fire,
the essence of a thing)</t>
  </si>
  <si>
    <t>Salt (stable form,
material body,
what persists and crystallizes)</t>
  </si>
  <si>
    <t>Mercury (swift messenger,
catalyst, the intellect
that perceives connections)</t>
  </si>
  <si>
    <t>Jungian Function</t>
  </si>
  <si>
    <t>Feeling
(value judgment;
what matters and why)</t>
  </si>
  <si>
    <t>Level 1</t>
  </si>
  <si>
    <t>Intuition
(perception of possibilities;
seeing what could be)</t>
  </si>
  <si>
    <t>Sensation
(direct perception;
trusting what can be measured)</t>
  </si>
  <si>
    <t>Thinking
(logical analysis;
judgment by principle)</t>
  </si>
  <si>
    <t>Astrology</t>
  </si>
  <si>
    <t>Cancer · Scorpio · Pisces
(protective, deep, boundaryless)</t>
  </si>
  <si>
    <t>Aries · Leo · Sagittarius
(pioneering, radiant, questing)</t>
  </si>
  <si>
    <t>Taurus · Virgo · Capricorn
(patient, precise, disciplined)</t>
  </si>
  <si>
    <t>Gemini · Libra · Aquarius
(communicative, balanced, principled)</t>
  </si>
  <si>
    <t>Symbolic Images</t>
  </si>
  <si>
    <t>Chalice, cauldron, well,
mirror, the moon, rain,
tears, the tide</t>
  </si>
  <si>
    <t>Torch, forge, staff, lance,
the noon sun, bonfire,
the phoenix, the serpent</t>
  </si>
  <si>
    <t>Coin, gem, loom, scales,
the labyrinth, talisman,
mason's tools, the plowed field</t>
  </si>
  <si>
    <t>Sword, scalpel, pen/quill,
scales of justice, compass,
the bare winter tree</t>
  </si>
  <si>
    <t>Mythic Parallels</t>
  </si>
  <si>
    <t>The Fisher King, Avalon,
the Lady of the Lake,
Aphrodite, the Holy Grail</t>
  </si>
  <si>
    <t>Prometheus, Heracles,
Hephaestus, the Phoenix,
Shiva's dance</t>
  </si>
  <si>
    <t>Daedalus, Anansi, Loki
(creative aspect),
the Philosopher's Stone</t>
  </si>
  <si>
    <t>Athena, Sherlock Holmes,
Themis/Lady Justice,
the Angel of Eden</t>
  </si>
  <si>
    <t>Core Concepts</t>
  </si>
  <si>
    <t>Food</t>
  </si>
  <si>
    <t>Love, empathy, intuition,
the unconscious, dreams,
creativity, healing,
spiritual yearning,
vulnerability as strength,
emotional courage</t>
  </si>
  <si>
    <t>Will, action, ambition,
courage, transformation,
vitality, growth, passion,
the life force, energy
as a resource, spiritual fire,
the drive to do</t>
  </si>
  <si>
    <t>Material world, craft, trade,
practical intelligence,
adaptability, the gap between
appearance and reality,
long-term investment,
accumulation of skill</t>
  </si>
  <si>
    <t>Intellect, truth, precision,
strategy, communication
as weapon or shield,
decision-making, justice,
mastery through understanding,
cutting away illusion</t>
  </si>
  <si>
    <t>Skills</t>
  </si>
  <si>
    <t>Awareness
Presence
Persuasion
Survival
Performance
Rapport</t>
  </si>
  <si>
    <t>Brawl
Athletics
Resilience
Mixology
Meditation
Theurgy
Elementalism</t>
  </si>
  <si>
    <t>Acrobatics
Might
Masquerade
Streetwise
Composure
Craft</t>
  </si>
  <si>
    <t>Archery · Melee
Stealth
Insight
Academics
Medicine</t>
  </si>
  <si>
    <t>Offensive Mechanics</t>
  </si>
  <si>
    <t>Taunted
Frightened</t>
  </si>
  <si>
    <t>Crippled
Bleeding</t>
  </si>
  <si>
    <t>Harried
Vulnerable
Necrotic</t>
  </si>
  <si>
    <t>Slowed
Push
Difficult Terrain</t>
  </si>
  <si>
    <t>Defensive Mechanics</t>
  </si>
  <si>
    <t>Ward
Embolden</t>
  </si>
  <si>
    <t>Hasted
Shift</t>
  </si>
  <si>
    <t>Bolstered
Steady</t>
  </si>
  <si>
    <t>Turn Order
Protected</t>
  </si>
  <si>
    <t>Social Mechanics</t>
  </si>
  <si>
    <t>Genuine conviction —
target is emotionally moved,
not merely compliant;
lasting attitude shift</t>
  </si>
  <si>
    <t>Social overwhelm —
target capitulates to force;
committed and unable
to easily walk back</t>
  </si>
  <si>
    <t>Position exposed —
flaw in their argument found;
off-balance and vulnerable
to the next social push</t>
  </si>
  <si>
    <t>Narrative control —
you lock down what comes next;
your position is hard
to argue against</t>
  </si>
  <si>
    <t>Suit Effect (Combat)</t>
  </si>
  <si>
    <t>Extra Successes
on damaging attacks</t>
  </si>
  <si>
    <t>—</t>
  </si>
  <si>
    <t>Suit Effect (Social)</t>
  </si>
  <si>
    <t>Lasting outcome;
target genuinely believes</t>
  </si>
  <si>
    <t>Pressured outcome;
target backs down</t>
  </si>
  <si>
    <t>Information / angle;
target's position weakened</t>
  </si>
  <si>
    <t>Controlled outcome;
you set the terms</t>
  </si>
  <si>
    <t>Medicinal</t>
  </si>
  <si>
    <t>Bone</t>
  </si>
  <si>
    <t>Travel Rations</t>
  </si>
  <si>
    <t>Level 1-5</t>
  </si>
  <si>
    <t>Hearty Meal</t>
  </si>
  <si>
    <t>Level 2</t>
  </si>
  <si>
    <t>Soul Soup</t>
  </si>
  <si>
    <t>Level 3</t>
  </si>
  <si>
    <t>Muscular Feast</t>
  </si>
  <si>
    <t>Level 4</t>
  </si>
  <si>
    <t>Trancendental Entree</t>
  </si>
  <si>
    <t>Level 5</t>
  </si>
  <si>
    <t>Acidic Flask</t>
  </si>
  <si>
    <t>Grenade</t>
  </si>
  <si>
    <t>[Elemental]</t>
  </si>
  <si>
    <t>Distance per Hex</t>
  </si>
  <si>
    <t>km?</t>
  </si>
  <si>
    <t>Immaculate Adhesive</t>
  </si>
  <si>
    <t>Distance per move</t>
  </si>
  <si>
    <t>Terrain</t>
  </si>
  <si>
    <t>Speed Mod</t>
  </si>
  <si>
    <t>Moves to Travel</t>
  </si>
  <si>
    <t>Plains</t>
  </si>
  <si>
    <t>Bottled Fire</t>
  </si>
  <si>
    <t>Forest / Swamp / Hills</t>
  </si>
  <si>
    <t>Plains /w road</t>
  </si>
  <si>
    <t>Forest / Swamp / Hills /w road</t>
  </si>
  <si>
    <t>Distance traveled per day, top end</t>
  </si>
  <si>
    <t>mi</t>
  </si>
  <si>
    <t>Distance but in kilometers</t>
  </si>
  <si>
    <t>Smokejar</t>
  </si>
  <si>
    <t>km</t>
  </si>
  <si>
    <t>Turns per day</t>
  </si>
  <si>
    <t>Moves per turn</t>
  </si>
  <si>
    <t>Moves per day</t>
  </si>
  <si>
    <t>Bonemelter</t>
  </si>
  <si>
    <t>Average moves per km</t>
  </si>
  <si>
    <t>Gold per character per tier:</t>
  </si>
  <si>
    <t>km/move</t>
  </si>
  <si>
    <t>Travel across easy road per turn</t>
  </si>
  <si>
    <t>Travel across gentle plains</t>
  </si>
  <si>
    <t>Travel across rough terrain with road</t>
  </si>
  <si>
    <t>Travel across rough terrain</t>
  </si>
  <si>
    <t>Starting XP</t>
  </si>
  <si>
    <t>Ending XP</t>
  </si>
  <si>
    <t>Sessions</t>
  </si>
  <si>
    <t>XP to gain</t>
  </si>
  <si>
    <t>Snowstorm</t>
  </si>
  <si>
    <t>XP per session</t>
  </si>
  <si>
    <t>Starting XP/session</t>
  </si>
  <si>
    <t>Sunbeam</t>
  </si>
  <si>
    <t>Ending XP/session</t>
  </si>
  <si>
    <t>Hellfire Bomb</t>
  </si>
  <si>
    <t>Thunderclap-in-a-jar</t>
  </si>
  <si>
    <t>Basic Poison</t>
  </si>
  <si>
    <t>Poison</t>
  </si>
  <si>
    <t>Instant</t>
  </si>
  <si>
    <t>Energizing Brew</t>
  </si>
  <si>
    <t>Potion</t>
  </si>
  <si>
    <t>Hour</t>
  </si>
  <si>
    <t>Fortifying Concoction</t>
  </si>
  <si>
    <t>Elemental-Attuned Tincture</t>
  </si>
  <si>
    <t>Essential Ointment</t>
  </si>
  <si>
    <t>Soldier's Salts</t>
  </si>
  <si>
    <t>Calming Brew</t>
  </si>
  <si>
    <t>Values</t>
  </si>
  <si>
    <t>Healing Potion</t>
  </si>
  <si>
    <t>Liquid Charisma</t>
  </si>
  <si>
    <t>Precious</t>
  </si>
  <si>
    <t>Earthen Draught</t>
  </si>
  <si>
    <t>Fighter's Friend</t>
  </si>
  <si>
    <t>Swiftblade Vial</t>
  </si>
  <si>
    <t>Insanity Potion</t>
  </si>
  <si>
    <t>Cobblestone Boots</t>
  </si>
  <si>
    <t>Feet</t>
  </si>
  <si>
    <t>Clothing</t>
  </si>
  <si>
    <t>Metal</t>
  </si>
  <si>
    <t>Lightfoot Shoes</t>
  </si>
  <si>
    <t>Feathered Sandals</t>
  </si>
  <si>
    <t>Name</t>
  </si>
  <si>
    <t>Wood</t>
  </si>
  <si>
    <t>Net</t>
  </si>
  <si>
    <t>Slipstream Sandals</t>
  </si>
  <si>
    <t>Value</t>
  </si>
  <si>
    <t>Rate of Use
/ Encounter</t>
  </si>
  <si>
    <t>Target</t>
  </si>
  <si>
    <t>Vaulting Boots</t>
  </si>
  <si>
    <t>Greaves of the Stalwart Guardian</t>
  </si>
  <si>
    <t>Armory Gauntlets</t>
  </si>
  <si>
    <t>Hands</t>
  </si>
  <si>
    <t>(Bone/Metal/Wood)</t>
  </si>
  <si>
    <t>Deft Gloves</t>
  </si>
  <si>
    <t>Mighty Mitts</t>
  </si>
  <si>
    <t>Brace</t>
  </si>
  <si>
    <t>Tech</t>
  </si>
  <si>
    <t>Confident Cap</t>
  </si>
  <si>
    <t>Head</t>
  </si>
  <si>
    <t>Mask of Night</t>
  </si>
  <si>
    <t>Lens of Daybreak</t>
  </si>
  <si>
    <t>Soulblade</t>
  </si>
  <si>
    <t>Jewelry</t>
  </si>
  <si>
    <t>Cowl of Tranquility</t>
  </si>
  <si>
    <t>Vow of Poverty</t>
  </si>
  <si>
    <t>Crown of Glory</t>
  </si>
  <si>
    <t>Blindsight</t>
  </si>
  <si>
    <t>Assassin's Undetectable Arms</t>
  </si>
  <si>
    <t>Held</t>
  </si>
  <si>
    <t>Weapon</t>
  </si>
  <si>
    <t>Blood-Powered Spirit</t>
  </si>
  <si>
    <t>Battering Armament</t>
  </si>
  <si>
    <t>Bound Across Mountians</t>
  </si>
  <si>
    <t>Bounty Hunter's Blade</t>
  </si>
  <si>
    <t>Canopy Creeper</t>
  </si>
  <si>
    <t>Eager Armament</t>
  </si>
  <si>
    <t>Falling Tumble</t>
  </si>
  <si>
    <t>Grim Resolve</t>
  </si>
  <si>
    <t>Fatestealer</t>
  </si>
  <si>
    <t>One Eye Behind You</t>
  </si>
  <si>
    <t>Second Wind</t>
  </si>
  <si>
    <t>Reaching Weapon</t>
  </si>
  <si>
    <t>Solemn Pact</t>
  </si>
  <si>
    <t>Venemous Weapon</t>
  </si>
  <si>
    <t>Toughened Body</t>
  </si>
  <si>
    <t>Grim Promise</t>
  </si>
  <si>
    <t>Trout Seeming</t>
  </si>
  <si>
    <t>Sorcerer's Bow</t>
  </si>
  <si>
    <t>Skin of Stone</t>
  </si>
  <si>
    <t>Weapon of Sending</t>
  </si>
  <si>
    <t>Solemn Perseverance</t>
  </si>
  <si>
    <t>Claw of Mortality</t>
  </si>
  <si>
    <t>Temper Soulblade</t>
  </si>
  <si>
    <t>Toughened Resolve</t>
  </si>
  <si>
    <t>Claw of Rime</t>
  </si>
  <si>
    <t>Lay On Hands</t>
  </si>
  <si>
    <t>Conflagration Brand</t>
  </si>
  <si>
    <t>Elemental-Forged Weaponry</t>
  </si>
  <si>
    <t>Mind and Body Unbroken</t>
  </si>
  <si>
    <t>Fanged Guard</t>
  </si>
  <si>
    <t>Strength from the Slain</t>
  </si>
  <si>
    <t>Solemn Covenant</t>
  </si>
  <si>
    <t>Thrumming Focus</t>
  </si>
  <si>
    <t>Toughened Spirit</t>
  </si>
  <si>
    <t>:^)</t>
  </si>
  <si>
    <t>Apocalyptic Staff</t>
  </si>
  <si>
    <t>Air of Mystery</t>
  </si>
  <si>
    <t>Placeholder's Speedy Scepter or Shield or Something</t>
  </si>
  <si>
    <t>Awaken Armament</t>
  </si>
  <si>
    <t>Cape of Many Pockets</t>
  </si>
  <si>
    <t>Neck</t>
  </si>
  <si>
    <t>Legerdemain</t>
  </si>
  <si>
    <t>Choker of Silent Whispers</t>
  </si>
  <si>
    <t>Patch Up</t>
  </si>
  <si>
    <t>Cloak of Caches</t>
  </si>
  <si>
    <t>VALUE</t>
  </si>
  <si>
    <t>Quick Draw</t>
  </si>
  <si>
    <t>Diver's Necklace</t>
  </si>
  <si>
    <t>Re-purpose Materials</t>
  </si>
  <si>
    <t>Shawl of the Land</t>
  </si>
  <si>
    <t>Scrapcraft</t>
  </si>
  <si>
    <t>Battle Maneuver 1</t>
  </si>
  <si>
    <t>Snowfall Drape</t>
  </si>
  <si>
    <t>Fudge Value</t>
  </si>
  <si>
    <t>Battle Maneuver 2</t>
  </si>
  <si>
    <t>Evertoking Bottle</t>
  </si>
  <si>
    <t>Other</t>
  </si>
  <si>
    <t>Battle Maneuver 3</t>
  </si>
  <si>
    <t>Distant Scroll Cases</t>
  </si>
  <si>
    <t>Leather</t>
  </si>
  <si>
    <t>Battle Maneuver 4</t>
  </si>
  <si>
    <t>Placeholder's Wondrous Workspace</t>
  </si>
  <si>
    <t>Acc / Def 💯</t>
  </si>
  <si>
    <t>Feint</t>
  </si>
  <si>
    <t>Damage</t>
  </si>
  <si>
    <t>Placeholder's Spacious Satchel</t>
  </si>
  <si>
    <t>Magehunter</t>
  </si>
  <si>
    <t>Spirit Quest Ointment</t>
  </si>
  <si>
    <t>Blinkstep</t>
  </si>
  <si>
    <t>Fate's Grasp</t>
  </si>
  <si>
    <t>Card 💯</t>
  </si>
  <si>
    <t>Ring</t>
  </si>
  <si>
    <t>Drifting Form</t>
  </si>
  <si>
    <t>Luminous Signet</t>
  </si>
  <si>
    <t># of enemies and players</t>
  </si>
  <si>
    <t>Average equal fight, party size of 4</t>
  </si>
  <si>
    <t>Average hit chance</t>
  </si>
  <si>
    <t>While most attacks are slightly less likely to hit, Harried counteracts this</t>
  </si>
  <si>
    <t>Average Health lost per hit</t>
  </si>
  <si>
    <t>Average weapons deal 2 over soak of equivalent type, +1/4 from hearts sometimes</t>
  </si>
  <si>
    <t>Health value</t>
  </si>
  <si>
    <t>Flamefist's Approach</t>
  </si>
  <si>
    <t>Perfect Strike</t>
  </si>
  <si>
    <t>If damage is worth 2, and the average attack misses half the time, confirmed health loss is twice that</t>
  </si>
  <si>
    <t>Rounds per combat</t>
  </si>
  <si>
    <t>We're just deciding this</t>
  </si>
  <si>
    <t>Enemies killed per round</t>
  </si>
  <si>
    <t>Health 💯</t>
  </si>
  <si>
    <t>Bloodshard Ring</t>
  </si>
  <si>
    <t>Cloak and Dagger</t>
  </si>
  <si>
    <t>Enemies on Round</t>
  </si>
  <si>
    <t>Assumes that half the time, the party manages to prevent some enemies from taking a round by killing or disabling them</t>
  </si>
  <si>
    <t>War Magic 1</t>
  </si>
  <si>
    <t>Flamebinder's Promise</t>
  </si>
  <si>
    <t>War Magic 2</t>
  </si>
  <si>
    <t>Value of character attack damage</t>
  </si>
  <si>
    <t>Heartbinding Band</t>
  </si>
  <si>
    <t>1 AP 💯</t>
  </si>
  <si>
    <t>Damage per hit * hit chance * Health value</t>
  </si>
  <si>
    <t>Harried value</t>
  </si>
  <si>
    <t>Harried reducing defense against 1 attack to follow, OR alternate defense being ~1 lower</t>
  </si>
  <si>
    <t>Avg attacks per turn</t>
  </si>
  <si>
    <t>Attacks per round on average, assuming some moving is required or otherwise loss of efficieny on average</t>
  </si>
  <si>
    <t>Baseline turn value</t>
  </si>
  <si>
    <t>War Magic 3</t>
  </si>
  <si>
    <t>Focusing Band</t>
  </si>
  <si>
    <t>Average # of ECRs per fight</t>
  </si>
  <si>
    <t>War Magic 4</t>
  </si>
  <si>
    <t>Total enemy rounds that get taken in the average fight</t>
  </si>
  <si>
    <t>Total enemy value per fight</t>
  </si>
  <si>
    <t>Galeforce Loop</t>
  </si>
  <si>
    <t>Average # of player rounds per fight</t>
  </si>
  <si>
    <t>Debuff</t>
  </si>
  <si>
    <t>Force Missiles</t>
  </si>
  <si>
    <t>Total player value per fight</t>
  </si>
  <si>
    <t>Tactician's Band</t>
  </si>
  <si>
    <t>Enemy value per PC</t>
  </si>
  <si>
    <t>Total enemy value /  players</t>
  </si>
  <si>
    <t>Average Cards per day</t>
  </si>
  <si>
    <t>Gainsay</t>
  </si>
  <si>
    <t>Assumes the 'average' player has 5 total Mind+Instinct, or ways of generating cards</t>
  </si>
  <si>
    <t>Card value</t>
  </si>
  <si>
    <t>Health (or equivalent) gained per card usage</t>
  </si>
  <si>
    <t>Total card value per day</t>
  </si>
  <si>
    <t>Poison Needle</t>
  </si>
  <si>
    <t>Warmage's Reserves (L1-2)</t>
  </si>
  <si>
    <t>Healing per rest</t>
  </si>
  <si>
    <t>Assumes 3 Body, or 2 + misc effect, per player</t>
  </si>
  <si>
    <t>Gold 💯</t>
  </si>
  <si>
    <t>Value recovered per rest</t>
  </si>
  <si>
    <t>Attuned Shroud</t>
  </si>
  <si>
    <t>Warmage's Reserves (L3)</t>
  </si>
  <si>
    <t>Full combat encounters per day</t>
  </si>
  <si>
    <t>Torso</t>
  </si>
  <si>
    <t>Equivalent number of combats the party recovers value for after each rest</t>
  </si>
  <si>
    <t>Warmage's Reserves (L4)</t>
  </si>
  <si>
    <t>Elemental-Resistant Armor</t>
  </si>
  <si>
    <t>Protected 💯</t>
  </si>
  <si>
    <t>Consumables used encounter per player</t>
  </si>
  <si>
    <t>Armor</t>
  </si>
  <si>
    <t>Magic items gained encounter per player</t>
  </si>
  <si>
    <t>Consume value per tier</t>
  </si>
  <si>
    <t>Wall of Ice</t>
  </si>
  <si>
    <t>Magic Item value per tier</t>
  </si>
  <si>
    <t>Dauntless Wrap</t>
  </si>
  <si>
    <t>Equipment bonus to enemies per tier</t>
  </si>
  <si>
    <t>Value / Gold ratio</t>
  </si>
  <si>
    <t>Wall of Fire (they dodge it)</t>
  </si>
  <si>
    <t>Gold earned per encounter per tier</t>
  </si>
  <si>
    <t>Armor of Constitutional Integrity</t>
  </si>
  <si>
    <t>Wall of Fire (they dont lol)</t>
  </si>
  <si>
    <t>Sift</t>
  </si>
  <si>
    <t>Coat of Knit Flesh</t>
  </si>
  <si>
    <t>Disciple of the Flowing Hand</t>
  </si>
  <si>
    <t>Furious Rage</t>
  </si>
  <si>
    <t>Shallow HP 💯</t>
  </si>
  <si>
    <t>Fortified Armor</t>
  </si>
  <si>
    <t>Hand of Chaos</t>
  </si>
  <si>
    <t>Lifeforce Plate</t>
  </si>
  <si>
    <t>Indomitable Phalanx</t>
  </si>
  <si>
    <t>Robes of Resilience</t>
  </si>
  <si>
    <t>Deep HP 💯</t>
  </si>
  <si>
    <t>Placeholder's Ley Weaving</t>
  </si>
  <si>
    <t>Lion Style - Eternal Riposte</t>
  </si>
  <si>
    <t>Shugen Style - Spirit Hands</t>
  </si>
  <si>
    <t>Shallow Heal 💯</t>
  </si>
  <si>
    <t>TIger Style STorm of Blades</t>
  </si>
  <si>
    <t>Robes of the Elemental Lord</t>
  </si>
  <si>
    <t>Follow Through</t>
  </si>
  <si>
    <t>Sash of Deep Pockets</t>
  </si>
  <si>
    <t>Belt</t>
  </si>
  <si>
    <t>Inexhaustible Guardian</t>
  </si>
  <si>
    <t>Deep Heal 💯</t>
  </si>
  <si>
    <t>Smuggler's Belt</t>
  </si>
  <si>
    <t>Overchanneling</t>
  </si>
  <si>
    <t>Shadow Jaunt</t>
  </si>
  <si>
    <t>Good Luck 💯</t>
  </si>
  <si>
    <t>Spirit Blessing</t>
  </si>
  <si>
    <t>Autoswing 💯</t>
  </si>
  <si>
    <t>Healing Magic L1</t>
  </si>
  <si>
    <t>Healing Magic L2</t>
  </si>
  <si>
    <t>Push</t>
  </si>
  <si>
    <t>Healing Magic L3</t>
  </si>
  <si>
    <t>Healing Magic L4</t>
  </si>
  <si>
    <t>Difficult Terrain 💯</t>
  </si>
  <si>
    <t>Healing Magic L4 2x Target</t>
  </si>
  <si>
    <t>Gust of Wind</t>
  </si>
  <si>
    <t>Concession 💯</t>
  </si>
  <si>
    <t>Beast Venom</t>
  </si>
  <si>
    <t>Spectral Spiderwebs</t>
  </si>
  <si>
    <t>Reckoning</t>
  </si>
  <si>
    <t>Cloak of Awe</t>
  </si>
  <si>
    <t>Spellblade</t>
  </si>
  <si>
    <t>Earthquake</t>
  </si>
  <si>
    <t>Spiritual Intervention</t>
  </si>
  <si>
    <t>Analyze Stance</t>
  </si>
  <si>
    <t>Spirit Bolt</t>
  </si>
  <si>
    <t>Channel Ki</t>
  </si>
  <si>
    <t>Ignore Pain</t>
  </si>
  <si>
    <t>Pranic Nourishment</t>
  </si>
  <si>
    <t>Empowered Blood</t>
  </si>
  <si>
    <t>Iron Skin</t>
  </si>
  <si>
    <t>Corrupted Blood</t>
  </si>
  <si>
    <t>First of the Third Dragon</t>
  </si>
  <si>
    <t>Harmonious Mending</t>
  </si>
  <si>
    <t>Bottomless Bottles</t>
  </si>
  <si>
    <t>Hand of the Chirurgeon</t>
  </si>
  <si>
    <t>Optimize Blood</t>
  </si>
  <si>
    <t>Pressure Point Revitalization</t>
  </si>
  <si>
    <t>Preternatural Reflexes</t>
  </si>
  <si>
    <t>Challenge</t>
  </si>
  <si>
    <t>A Perfectly Good Eplxanation</t>
  </si>
  <si>
    <t>Cry of Victory</t>
  </si>
  <si>
    <t>Heroic Inspiration</t>
  </si>
  <si>
    <t>Bolstering Refrain</t>
  </si>
  <si>
    <t>Exert Pressure</t>
  </si>
  <si>
    <t>Raise Spirits</t>
  </si>
  <si>
    <t>Rally to Victory</t>
  </si>
  <si>
    <t>Eagle Eyes</t>
  </si>
  <si>
    <t>Snake Style Heelbiter</t>
  </si>
  <si>
    <t>Snake Style Chainbreaker</t>
  </si>
  <si>
    <t>Bear Style Boulder Toss</t>
  </si>
  <si>
    <t>Demon Style Plague Fist</t>
  </si>
  <si>
    <t>Bloody Divination</t>
  </si>
  <si>
    <t>Masters of Safety</t>
  </si>
  <si>
    <t>Improved Bite</t>
  </si>
  <si>
    <t>Hardy</t>
  </si>
  <si>
    <t>Cruelty</t>
  </si>
  <si>
    <t>Numb</t>
  </si>
  <si>
    <t>Poison Adaptation (Bite)</t>
  </si>
  <si>
    <t>Poison Adaptation (Spit)</t>
  </si>
  <si>
    <t>Blessed Fire</t>
  </si>
  <si>
    <t>Sacred Flame</t>
  </si>
  <si>
    <t>Scrounged Trap</t>
  </si>
  <si>
    <t>Impromptu Inspiration</t>
  </si>
  <si>
    <t>Okay so all attacks get buffed by Hearts? Or all red cards?</t>
  </si>
  <si>
    <t>If it's all red cards, Good Luck is an extra 0.5 damage each, for +1 value, making the mechanic very good.</t>
  </si>
  <si>
    <t>If it's just hearts, you're kind of trying to high-roll, and you have a couple cards a day that are used for real banger attacks.</t>
  </si>
  <si>
    <t>Hearts</t>
  </si>
  <si>
    <t>Clubs</t>
  </si>
  <si>
    <t>Diamonds</t>
  </si>
  <si>
    <t>Spades</t>
  </si>
  <si>
    <t>Tarot Suit(s)</t>
  </si>
  <si>
    <t>Wands, Batons, Rods</t>
  </si>
  <si>
    <t>Coins, Pentacles, Disks</t>
  </si>
  <si>
    <t>Concepts</t>
  </si>
  <si>
    <t>Power, overwhelming, love
Emotions, intuition, creativity
Relationships, emotional connections</t>
  </si>
  <si>
    <t>Stability, safety, optimism
Energy, motivation, passion
Purpose, spirituality, new ideas</t>
  </si>
  <si>
    <t>Flexibility, cleverness, contingency
Money, work, material goods
Careers, finances, professions</t>
  </si>
  <si>
    <t>Mastery, control, destiny
Thoughts, words, actions
Communication, decisions, asserting power</t>
  </si>
  <si>
    <t>Skills (Mostly)</t>
  </si>
  <si>
    <t>Brawl
Athletics
Resilience
Mixology
Elementalism
Meditation
Theurgy</t>
  </si>
  <si>
    <t>Archery
Melee
Stealth
Insight
Academics
Medicine</t>
  </si>
  <si>
    <t>Fundamental Effect</t>
  </si>
  <si>
    <t>Extra Successes to damaging attacks</t>
  </si>
  <si>
    <t>Skill</t>
  </si>
  <si>
    <t>Stock Use?</t>
  </si>
  <si>
    <t>“Auto Attack”?</t>
  </si>
  <si>
    <t>Premium Use</t>
  </si>
  <si>
    <t>Athletics</t>
  </si>
  <si>
    <t>Fancy movement</t>
  </si>
  <si>
    <t>Improved movement</t>
  </si>
  <si>
    <t>Acrobatics</t>
  </si>
  <si>
    <t>Dodge, some forms of fancy movement</t>
  </si>
  <si>
    <t>Insight</t>
  </si>
  <si>
    <t>Reflex, “Suspicion” Defense, Noticing things indirectly</t>
  </si>
  <si>
    <t>Academics</t>
  </si>
  <si>
    <t>-</t>
  </si>
  <si>
    <t>Combat Scanner technique</t>
  </si>
  <si>
    <t>Arcana</t>
  </si>
  <si>
    <t>Arcane magic</t>
  </si>
  <si>
    <t>Awareness</t>
  </si>
  <si>
    <t>Noticing things</t>
  </si>
  <si>
    <t>Like a cool search or something</t>
  </si>
  <si>
    <t>Archery</t>
  </si>
  <si>
    <t>Weapon attacks</t>
  </si>
  <si>
    <t>Masquerade</t>
  </si>
  <si>
    <t>Disguising + acting</t>
  </si>
  <si>
    <t>Craft</t>
  </si>
  <si>
    <t>Meditation</t>
  </si>
  <si>
    <t>Might</t>
  </si>
  <si>
    <t>Brawl</t>
  </si>
  <si>
    <t>Persuasion</t>
  </si>
  <si>
    <t>Composure</t>
  </si>
  <si>
    <t>Performance</t>
  </si>
  <si>
    <t>Presence</t>
  </si>
  <si>
    <t>Melee</t>
  </si>
  <si>
    <t>Streetwise</t>
  </si>
  <si>
    <t>Medicine</t>
  </si>
  <si>
    <t>Rapport</t>
  </si>
  <si>
    <t>Resilience</t>
  </si>
  <si>
    <t>Stealth</t>
  </si>
  <si>
    <t>Survival</t>
  </si>
  <si>
    <t>Mixology</t>
  </si>
  <si>
    <t>Theurgy</t>
  </si>
  <si>
    <t>OK so the old system was kind of weird, wounds and stuff are neat but it was too complicated</t>
  </si>
  <si>
    <t>New idea is to have two tracks, "skin" points and "meat" points (need better named)</t>
  </si>
  <si>
    <t>All are kinds of Health, though, and when you lose Health you subtract from the Short Health if you have any, before losing Long Health.</t>
  </si>
  <si>
    <t>When you are out of Short Health, you are Wounded, giving you Disadvantage on all flips, and -2 to Speed, Reflex, and all Defenses)</t>
  </si>
  <si>
    <t>Enemies for simplicity just have health, and are Wounded at half or lower.</t>
  </si>
  <si>
    <t>Grazed and Wounded Health?</t>
  </si>
  <si>
    <t>Shallow Health, Deep Health?</t>
  </si>
  <si>
    <t>1 Max Deep HP is worth 4, it's sort of an effective point of healing and it doesn't need to be healed to be effective at first, and you save a card</t>
  </si>
  <si>
    <t>1 Max Shallow HP is worth 5, because it's the same thing but it's a bit easier to heal up with end of day healing so it has less of a restraint on your cards</t>
  </si>
  <si>
    <t>The math on the last one is that it's baseline worth 4, and from the standard of 5 Shallow Health you probably can heal an extra 1 over what you lose because of it</t>
  </si>
  <si>
    <t>So that means that it's worth an extra 5/4, or 25%, bringing it from 4 to 5</t>
  </si>
  <si>
    <t>Healing, conversely, is probably worth the inverse amount. Health is worth 4, but if it's Deep Health in addition to being a bit restricted we tack like an extra 1 value on that.</t>
  </si>
  <si>
    <t>Accuracy</t>
  </si>
  <si>
    <t>Defense</t>
  </si>
  <si>
    <t>Range</t>
  </si>
  <si>
    <t>Tags</t>
  </si>
  <si>
    <t>Unarmed</t>
  </si>
  <si>
    <t>M</t>
  </si>
  <si>
    <t>Light</t>
  </si>
  <si>
    <t>Heavy</t>
  </si>
  <si>
    <t>Shield</t>
  </si>
  <si>
    <t>[Two-Handed]</t>
  </si>
  <si>
    <t>Two-Handed</t>
  </si>
  <si>
    <t>Two-Handed weapons require the use of both hands to wield effectively</t>
  </si>
  <si>
    <t>[Thrown]</t>
  </si>
  <si>
    <t>3 x [Body]</t>
  </si>
  <si>
    <t>Thrown</t>
  </si>
  <si>
    <t>Thrown weapons cannot be used to Parry</t>
  </si>
  <si>
    <t>Spell</t>
  </si>
  <si>
    <t>2 [Element]</t>
  </si>
  <si>
    <t>For Skills with no auto-attack (such as Arcana)</t>
  </si>
  <si>
    <t>Masterwork items are 20g / tier, and provide a per-encounter value equal to their Level x 3, same as Techniques</t>
  </si>
  <si>
    <t>Consumables are 2g / tier, and provide value equal to their Level x 3, but FUCKING EXPLODE once used</t>
  </si>
  <si>
    <t>This ratio is completely made up and not based on anything aside from intuition</t>
  </si>
  <si>
    <t>Earlier notes suggest that Level 1-2 Masterwork items are like 300% the value/gold ratio of consumables, but in theory people rotate them out and this kind of balances in practice?</t>
  </si>
  <si>
    <t>I suspect that the key here is to give people enough Gold that upgrading existing Masterwork items starts becoming a real concern / limiting aspect</t>
  </si>
  <si>
    <t>Work out how much gold the party should get in terms of loot per encounter</t>
  </si>
  <si>
    <t>As a benchmark, for Re-purpose Materials to be worth it, the party would need at least 24 Gold of scrappable items per day</t>
  </si>
  <si>
    <t>Grenades and similar assume a base stat (for damage etc.) of 3-5, based on Level; 1-2 assume 3, 3 assumed 4, 4-5 assumes 5</t>
  </si>
  <si>
    <t>If cards are cheated in for full value:</t>
  </si>
  <si>
    <t>played \ replaced</t>
  </si>
  <si>
    <t>Average of all cards:</t>
  </si>
  <si>
    <t>Midpoint lol</t>
  </si>
  <si>
    <t>Average of top half:</t>
  </si>
  <si>
    <t>Average of bottom half:</t>
  </si>
  <si>
    <t>if cards can be cheated for enemies too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</si>
</sst>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0.000"/>
  </numFmts>
  <fonts count="2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rgb="FF000000"/>
      <name val="Verdana"/>
    </font>
    <font>
      <b/>
      <sz val="10.0"/>
      <color rgb="FFE8DFC8"/>
      <name val="Arial"/>
    </font>
    <font>
      <sz val="12.0"/>
      <color rgb="FF000000"/>
      <name val="Verdana"/>
    </font>
    <font>
      <b/>
      <sz val="11.0"/>
      <color rgb="FFFFE8E8"/>
      <name val="Arial"/>
    </font>
    <font>
      <b/>
      <sz val="11.0"/>
      <color rgb="FFFFF0E0"/>
      <name val="Arial"/>
    </font>
    <font>
      <color theme="1"/>
      <name val="Arial"/>
      <scheme val="minor"/>
    </font>
    <font>
      <b/>
      <sz val="11.0"/>
      <color rgb="FFE8F5E8"/>
      <name val="Arial"/>
    </font>
    <font>
      <b/>
      <sz val="11.0"/>
      <color rgb="FFE0E8FF"/>
      <name val="Arial"/>
    </font>
    <font>
      <b/>
      <sz val="9.0"/>
      <color rgb="FF726C58"/>
      <name val="Arial"/>
    </font>
    <font>
      <sz val="9.0"/>
      <color rgb="FFC8C0A8"/>
      <name val="Arial"/>
    </font>
    <font>
      <sz val="9.0"/>
      <color rgb="FFE8DFC8"/>
      <name val="Arial"/>
    </font>
    <font>
      <b/>
      <sz val="9.0"/>
      <color rgb="FF9C9576"/>
      <name val="Arial"/>
    </font>
    <font>
      <b/>
      <sz val="9.0"/>
      <color rgb="FFE8DFC8"/>
      <name val="Arial"/>
    </font>
    <font>
      <b/>
      <sz val="9.0"/>
      <color rgb="FFD4A843"/>
      <name val="Arial"/>
    </font>
    <font>
      <color theme="1"/>
      <name val="Arial"/>
    </font>
    <font>
      <sz val="8.0"/>
      <color theme="1"/>
      <name val="Arial"/>
      <scheme val="minor"/>
    </font>
    <font>
      <color rgb="FFB7B7B7"/>
      <name val="Arial"/>
      <scheme val="minor"/>
    </font>
    <font>
      <b/>
      <sz val="8.0"/>
      <color theme="1"/>
      <name val="Arial"/>
      <scheme val="minor"/>
    </font>
    <font>
      <b/>
      <i/>
      <sz val="9.0"/>
      <color theme="1"/>
      <name val="Arial"/>
      <scheme val="minor"/>
    </font>
    <font>
      <i/>
      <sz val="9.0"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b/>
      <i/>
      <color theme="1"/>
      <name val="Arial"/>
      <scheme val="minor"/>
    </font>
    <font>
      <i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1A1A2E"/>
        <bgColor rgb="FF1A1A2E"/>
      </patternFill>
    </fill>
    <fill>
      <patternFill patternType="solid">
        <fgColor rgb="FF8B1A1A"/>
        <bgColor rgb="FF8B1A1A"/>
      </patternFill>
    </fill>
    <fill>
      <patternFill patternType="solid">
        <fgColor rgb="FF8B4500"/>
        <bgColor rgb="FF8B4500"/>
      </patternFill>
    </fill>
    <fill>
      <patternFill patternType="solid">
        <fgColor rgb="FF2C4A2C"/>
        <bgColor rgb="FF2C4A2C"/>
      </patternFill>
    </fill>
    <fill>
      <patternFill patternType="solid">
        <fgColor rgb="FFBDBDBD"/>
        <bgColor rgb="FFBDBDBD"/>
      </patternFill>
    </fill>
    <fill>
      <patternFill patternType="solid">
        <fgColor rgb="FF1A2A4A"/>
        <bgColor rgb="FF1A2A4A"/>
      </patternFill>
    </fill>
    <fill>
      <patternFill patternType="solid">
        <fgColor rgb="FF141929"/>
        <bgColor rgb="FF141929"/>
      </patternFill>
    </fill>
    <fill>
      <patternFill patternType="solid">
        <fgColor rgb="FF161C2A"/>
        <bgColor rgb="FF161C2A"/>
      </patternFill>
    </fill>
    <fill>
      <patternFill patternType="solid">
        <fgColor rgb="FF111622"/>
        <bgColor rgb="FF111622"/>
      </patternFill>
    </fill>
    <fill>
      <patternFill patternType="solid">
        <fgColor rgb="FFFFFFFF"/>
        <bgColor rgb="FFFFFFFF"/>
      </patternFill>
    </fill>
    <fill>
      <patternFill patternType="solid">
        <fgColor rgb="FF1C2235"/>
        <bgColor rgb="FF1C2235"/>
      </patternFill>
    </fill>
    <fill>
      <patternFill patternType="solid">
        <fgColor rgb="FF0F1420"/>
        <bgColor rgb="FF0F1420"/>
      </patternFill>
    </fill>
    <fill>
      <patternFill patternType="solid">
        <fgColor rgb="FFF3F3F3"/>
        <bgColor rgb="FFF3F3F3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D3050"/>
      </left>
      <right style="thin">
        <color rgb="FF2D3050"/>
      </right>
      <top style="thin">
        <color rgb="FF2D3050"/>
      </top>
      <bottom style="thin">
        <color rgb="FF2D305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double">
        <color rgb="FF000000"/>
      </left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horizontal="left" readingOrder="0" shrinkToFit="0" vertical="center" wrapText="1"/>
    </xf>
    <xf borderId="2" fillId="4" fontId="5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5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readingOrder="0"/>
    </xf>
    <xf borderId="2" fillId="6" fontId="8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readingOrder="0" shrinkToFit="0" wrapText="1"/>
    </xf>
    <xf borderId="0" fillId="7" fontId="1" numFmtId="0" xfId="0" applyAlignment="1" applyFill="1" applyFont="1">
      <alignment horizontal="center" readingOrder="0"/>
    </xf>
    <xf borderId="0" fillId="0" fontId="7" numFmtId="0" xfId="0" applyAlignment="1" applyFont="1">
      <alignment shrinkToFit="0" wrapText="1"/>
    </xf>
    <xf borderId="2" fillId="8" fontId="9" numFmtId="0" xfId="0" applyAlignment="1" applyBorder="1" applyFill="1" applyFont="1">
      <alignment horizontal="center" shrinkToFit="0" vertical="center" wrapText="1"/>
    </xf>
    <xf borderId="2" fillId="9" fontId="10" numFmtId="0" xfId="0" applyAlignment="1" applyBorder="1" applyFill="1" applyFont="1">
      <alignment shrinkToFit="0" vertical="top" wrapText="1"/>
    </xf>
    <xf borderId="2" fillId="10" fontId="11" numFmtId="0" xfId="0" applyAlignment="1" applyBorder="1" applyFill="1" applyFont="1">
      <alignment shrinkToFit="0" vertical="top" wrapText="1"/>
    </xf>
    <xf borderId="2" fillId="11" fontId="11" numFmtId="0" xfId="0" applyAlignment="1" applyBorder="1" applyFill="1" applyFont="1">
      <alignment shrinkToFit="0" vertical="top" wrapText="1"/>
    </xf>
    <xf borderId="0" fillId="12" fontId="7" numFmtId="0" xfId="0" applyAlignment="1" applyFill="1" applyFont="1">
      <alignment horizontal="center" readingOrder="0"/>
    </xf>
    <xf borderId="2" fillId="13" fontId="12" numFmtId="0" xfId="0" applyAlignment="1" applyBorder="1" applyFill="1" applyFont="1">
      <alignment shrinkToFit="0" vertical="top" wrapText="1"/>
    </xf>
    <xf borderId="2" fillId="14" fontId="13" numFmtId="0" xfId="0" applyAlignment="1" applyBorder="1" applyFill="1" applyFont="1">
      <alignment shrinkToFit="0" vertical="top" wrapText="1"/>
    </xf>
    <xf borderId="2" fillId="13" fontId="14" numFmtId="0" xfId="0" applyAlignment="1" applyBorder="1" applyFill="1" applyFont="1">
      <alignment shrinkToFit="0" vertical="top" wrapText="1"/>
    </xf>
    <xf borderId="0" fillId="0" fontId="7" numFmtId="0" xfId="0" applyAlignment="1" applyFont="1">
      <alignment horizontal="center"/>
    </xf>
    <xf borderId="2" fillId="13" fontId="15" numFmtId="0" xfId="0" applyAlignment="1" applyBorder="1" applyFill="1" applyFont="1">
      <alignment shrinkToFit="0" vertical="top" wrapText="1"/>
    </xf>
    <xf borderId="0" fillId="12" fontId="16" numFmtId="0" xfId="0" applyAlignment="1" applyFill="1" applyFont="1">
      <alignment horizontal="center" vertical="bottom"/>
    </xf>
    <xf borderId="0" fillId="12" fontId="7" numFmtId="0" xfId="0" applyAlignment="1" applyFill="1" applyFont="1">
      <alignment horizontal="center"/>
    </xf>
    <xf borderId="0" fillId="15" fontId="7" numFmtId="0" xfId="0" applyAlignment="1" applyFill="1" applyFont="1">
      <alignment horizontal="center" readingOrder="0"/>
    </xf>
    <xf borderId="0" fillId="15" fontId="7" numFmtId="0" xfId="0" applyAlignment="1" applyFill="1" applyFont="1">
      <alignment horizontal="center"/>
    </xf>
    <xf borderId="0" fillId="15" fontId="16" numFmtId="0" xfId="0" applyAlignment="1" applyFill="1" applyFont="1">
      <alignment vertical="bottom"/>
    </xf>
    <xf borderId="0" fillId="15" fontId="16" numFmtId="0" xfId="0" applyAlignment="1" applyFill="1" applyFont="1">
      <alignment horizontal="center" vertical="bottom"/>
    </xf>
    <xf borderId="0" fillId="0" fontId="7" numFmtId="0" xfId="0" applyAlignment="1" applyFont="1">
      <alignment readingOrder="0"/>
    </xf>
    <xf borderId="0" fillId="0" fontId="7" numFmtId="0" xfId="0" applyFont="1"/>
    <xf borderId="0" fillId="12" fontId="7" numFmtId="0" xfId="0" applyAlignment="1" applyFill="1" applyFont="1">
      <alignment horizontal="center"/>
    </xf>
    <xf borderId="0" fillId="0" fontId="1" numFmtId="0" xfId="0" applyAlignment="1" applyFont="1">
      <alignment readingOrder="0"/>
    </xf>
    <xf borderId="0" fillId="0" fontId="1" numFmtId="0" xfId="0" applyFont="1"/>
    <xf borderId="0" fillId="15" fontId="7" numFmtId="0" xfId="0" applyAlignment="1" applyFill="1" applyFont="1">
      <alignment horizontal="center"/>
    </xf>
    <xf borderId="3" fillId="0" fontId="1" numFmtId="4" xfId="0" applyAlignment="1" applyBorder="1" applyFont="1" applyNumberFormat="1">
      <alignment horizontal="center" readingOrder="0" shrinkToFit="0" vertical="center" wrapText="1"/>
    </xf>
    <xf borderId="1" fillId="0" fontId="17" numFmtId="4" xfId="0" applyAlignment="1" applyBorder="1" applyFont="1" applyNumberFormat="1">
      <alignment horizontal="center" readingOrder="0" shrinkToFit="0" vertical="center" wrapText="1"/>
    </xf>
    <xf borderId="4" fillId="0" fontId="7" numFmtId="3" xfId="0" applyAlignment="1" applyBorder="1" applyFont="1" applyNumberFormat="1">
      <alignment horizontal="center" readingOrder="0" shrinkToFit="0" vertical="center" wrapText="1"/>
    </xf>
    <xf borderId="5" fillId="0" fontId="7" numFmtId="4" xfId="0" applyAlignment="1" applyBorder="1" applyFont="1" applyNumberFormat="1">
      <alignment horizontal="center" readingOrder="0" shrinkToFit="0" vertical="center" wrapText="1"/>
    </xf>
    <xf borderId="1" fillId="0" fontId="18" numFmtId="4" xfId="0" applyAlignment="1" applyBorder="1" applyFont="1" applyNumberFormat="1">
      <alignment horizontal="center" readingOrder="0" shrinkToFit="0" vertical="center" wrapText="1"/>
    </xf>
    <xf borderId="1" fillId="0" fontId="7" numFmtId="4" xfId="0" applyAlignment="1" applyBorder="1" applyFont="1" applyNumberFormat="1">
      <alignment horizontal="center" readingOrder="0" shrinkToFit="0" vertical="center" wrapText="1"/>
    </xf>
    <xf borderId="6" fillId="0" fontId="18" numFmtId="4" xfId="0" applyAlignment="1" applyBorder="1" applyFont="1" applyNumberFormat="1">
      <alignment horizontal="center" readingOrder="0" shrinkToFit="0" vertical="center" wrapText="1"/>
    </xf>
    <xf borderId="3" fillId="0" fontId="1" numFmtId="4" xfId="0" applyAlignment="1" applyBorder="1" applyFont="1" applyNumberFormat="1">
      <alignment horizontal="center" shrinkToFit="0" vertical="center" wrapText="1"/>
    </xf>
    <xf borderId="0" fillId="0" fontId="19" numFmtId="4" xfId="0" applyAlignment="1" applyFont="1" applyNumberFormat="1">
      <alignment horizontal="center" readingOrder="0" shrinkToFit="0" textRotation="90" vertical="bottom" wrapText="1"/>
    </xf>
    <xf borderId="7" fillId="0" fontId="19" numFmtId="4" xfId="0" applyAlignment="1" applyBorder="1" applyFont="1" applyNumberFormat="1">
      <alignment horizontal="center" readingOrder="0" shrinkToFit="0" textRotation="90" vertical="bottom" wrapText="1"/>
    </xf>
    <xf borderId="8" fillId="0" fontId="19" numFmtId="3" xfId="0" applyAlignment="1" applyBorder="1" applyFont="1" applyNumberFormat="1">
      <alignment horizontal="center" readingOrder="0" shrinkToFit="0" textRotation="90" vertical="bottom" wrapText="1"/>
    </xf>
    <xf borderId="9" fillId="0" fontId="19" numFmtId="4" xfId="0" applyAlignment="1" applyBorder="1" applyFont="1" applyNumberFormat="1">
      <alignment horizontal="center" readingOrder="0" shrinkToFit="0" textRotation="90" vertical="bottom" wrapText="1"/>
    </xf>
    <xf borderId="10" fillId="0" fontId="19" numFmtId="4" xfId="0" applyAlignment="1" applyBorder="1" applyFont="1" applyNumberFormat="1">
      <alignment horizontal="center" readingOrder="0" shrinkToFit="0" textRotation="90" vertical="bottom" wrapText="1"/>
    </xf>
    <xf borderId="0" fillId="0" fontId="19" numFmtId="4" xfId="0" applyAlignment="1" applyFont="1" applyNumberFormat="1">
      <alignment horizontal="center" shrinkToFit="0" textRotation="90" vertical="bottom" wrapText="1"/>
    </xf>
    <xf borderId="0" fillId="0" fontId="1" numFmtId="4" xfId="0" applyAlignment="1" applyFont="1" applyNumberFormat="1">
      <alignment horizontal="left" readingOrder="0" shrinkToFit="0" vertical="center" wrapText="1"/>
    </xf>
    <xf borderId="7" fillId="0" fontId="17" numFmtId="4" xfId="0" applyAlignment="1" applyBorder="1" applyFont="1" applyNumberFormat="1">
      <alignment horizontal="center" readingOrder="0" shrinkToFit="0" vertical="center" wrapText="1"/>
    </xf>
    <xf borderId="8" fillId="0" fontId="7" numFmtId="3" xfId="0" applyAlignment="1" applyBorder="1" applyFont="1" applyNumberFormat="1">
      <alignment horizontal="center" readingOrder="0" shrinkToFit="0" vertical="center" wrapText="1"/>
    </xf>
    <xf borderId="9" fillId="0" fontId="7" numFmtId="4" xfId="0" applyAlignment="1" applyBorder="1" applyFont="1" applyNumberFormat="1">
      <alignment horizontal="center" readingOrder="0" shrinkToFit="0" vertical="center" wrapText="1"/>
    </xf>
    <xf borderId="7" fillId="0" fontId="18" numFmtId="4" xfId="0" applyAlignment="1" applyBorder="1" applyFont="1" applyNumberFormat="1">
      <alignment horizontal="center" readingOrder="0" shrinkToFit="0" vertical="center" wrapText="1"/>
    </xf>
    <xf borderId="7" fillId="0" fontId="7" numFmtId="4" xfId="0" applyAlignment="1" applyBorder="1" applyFont="1" applyNumberFormat="1">
      <alignment horizontal="center" readingOrder="0" shrinkToFit="0" vertical="center" wrapText="1"/>
    </xf>
    <xf borderId="10" fillId="0" fontId="18" numFmtId="4" xfId="0" applyAlignment="1" applyBorder="1" applyFont="1" applyNumberFormat="1">
      <alignment horizontal="center" readingOrder="0" shrinkToFit="0" vertical="center" wrapText="1"/>
    </xf>
    <xf borderId="0" fillId="0" fontId="7" numFmtId="4" xfId="0" applyAlignment="1" applyFont="1" applyNumberFormat="1">
      <alignment horizontal="center" shrinkToFit="0" vertical="center" wrapText="1"/>
    </xf>
    <xf borderId="0" fillId="0" fontId="7" numFmtId="4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horizontal="center" readingOrder="0" shrinkToFit="0" vertical="center" wrapText="1"/>
    </xf>
    <xf borderId="7" fillId="0" fontId="19" numFmtId="164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7" fillId="0" fontId="1" numFmtId="164" xfId="0" applyAlignment="1" applyBorder="1" applyFont="1" applyNumberFormat="1">
      <alignment horizontal="center" readingOrder="0" shrinkToFit="0" vertical="center" wrapText="1"/>
    </xf>
    <xf borderId="0" fillId="0" fontId="7" numFmtId="2" xfId="0" applyAlignment="1" applyFont="1" applyNumberForma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center" readingOrder="0"/>
    </xf>
    <xf borderId="11" fillId="0" fontId="1" numFmtId="0" xfId="0" applyBorder="1" applyFont="1"/>
    <xf borderId="8" fillId="0" fontId="20" numFmtId="0" xfId="0" applyBorder="1" applyFont="1"/>
    <xf borderId="0" fillId="0" fontId="7" numFmtId="2" xfId="0" applyAlignment="1" applyFont="1" applyNumberFormat="1">
      <alignment horizontal="center" readingOrder="0"/>
    </xf>
    <xf borderId="11" fillId="0" fontId="7" numFmtId="0" xfId="0" applyBorder="1" applyFont="1"/>
    <xf borderId="8" fillId="0" fontId="21" numFmtId="0" xfId="0" applyAlignment="1" applyBorder="1" applyFont="1">
      <alignment readingOrder="0"/>
    </xf>
    <xf borderId="0" fillId="0" fontId="7" numFmtId="10" xfId="0" applyAlignment="1" applyFont="1" applyNumberFormat="1">
      <alignment horizontal="center" readingOrder="0"/>
    </xf>
    <xf borderId="0" fillId="0" fontId="7" numFmtId="2" xfId="0" applyAlignment="1" applyFont="1" applyNumberFormat="1">
      <alignment horizontal="center"/>
    </xf>
    <xf borderId="8" fillId="0" fontId="21" numFmtId="0" xfId="0" applyBorder="1" applyFont="1"/>
    <xf borderId="12" fillId="0" fontId="1" numFmtId="0" xfId="0" applyBorder="1" applyFont="1"/>
    <xf borderId="12" fillId="0" fontId="1" numFmtId="0" xfId="0" applyAlignment="1" applyBorder="1" applyFont="1">
      <alignment horizontal="center"/>
    </xf>
    <xf borderId="12" fillId="0" fontId="7" numFmtId="2" xfId="0" applyAlignment="1" applyBorder="1" applyFont="1" applyNumberFormat="1">
      <alignment horizontal="center"/>
    </xf>
    <xf borderId="13" fillId="0" fontId="7" numFmtId="0" xfId="0" applyBorder="1" applyFont="1"/>
    <xf borderId="14" fillId="0" fontId="21" numFmtId="0" xfId="0" applyBorder="1" applyFont="1"/>
    <xf borderId="12" fillId="0" fontId="7" numFmtId="0" xfId="0" applyBorder="1" applyFont="1"/>
    <xf borderId="0" fillId="0" fontId="1" numFmtId="0" xfId="0" applyAlignment="1" applyFont="1">
      <alignment horizontal="center" shrinkToFit="0" vertical="center" wrapText="1"/>
    </xf>
    <xf borderId="8" fillId="0" fontId="7" numFmtId="3" xfId="0" applyAlignment="1" applyBorder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left" shrinkToFit="0" vertical="center" wrapText="1"/>
    </xf>
    <xf borderId="1" fillId="0" fontId="7" numFmtId="0" xfId="0" applyAlignment="1" applyBorder="1" applyFont="1">
      <alignment horizontal="left" shrinkToFit="0" vertical="top" wrapText="1"/>
    </xf>
    <xf borderId="1" fillId="0" fontId="22" numFmtId="0" xfId="0" applyAlignment="1" applyBorder="1" applyFont="1">
      <alignment horizontal="center" readingOrder="0" shrinkToFit="0" wrapText="1"/>
    </xf>
    <xf borderId="1" fillId="0" fontId="23" numFmtId="0" xfId="0" applyAlignment="1" applyBorder="1" applyFont="1">
      <alignment horizontal="left" readingOrder="0" shrinkToFit="0" wrapText="1"/>
    </xf>
    <xf borderId="1" fillId="0" fontId="23" numFmtId="49" xfId="0" applyAlignment="1" applyBorder="1" applyFont="1" applyNumberFormat="1">
      <alignment horizontal="left" readingOrder="0" shrinkToFit="0" wrapText="1"/>
    </xf>
    <xf borderId="1" fillId="0" fontId="23" numFmtId="49" xfId="0" applyAlignment="1" applyBorder="1" applyFont="1" applyNumberFormat="1">
      <alignment horizontal="left" shrinkToFit="0" wrapText="1"/>
    </xf>
    <xf borderId="0" fillId="0" fontId="2" numFmtId="0" xfId="0" applyAlignment="1" applyFont="1">
      <alignment horizontal="left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0" fontId="7" numFmtId="0" xfId="0" applyAlignment="1" applyFont="1">
      <alignment horizontal="left" shrinkToFit="0" vertical="bottom" wrapText="1"/>
    </xf>
    <xf borderId="7" fillId="0" fontId="17" numFmtId="4" xfId="0" applyAlignment="1" applyBorder="1" applyFont="1" applyNumberFormat="1">
      <alignment horizontal="center" shrinkToFit="0" vertical="center" wrapText="1"/>
    </xf>
    <xf borderId="11" fillId="0" fontId="1" numFmtId="0" xfId="0" applyAlignment="1" applyBorder="1" applyFont="1">
      <alignment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15" fillId="0" fontId="24" numFmtId="0" xfId="0" applyAlignment="1" applyBorder="1" applyFont="1">
      <alignment horizontal="center" readingOrder="0"/>
    </xf>
    <xf borderId="11" fillId="0" fontId="7" numFmtId="0" xfId="0" applyAlignment="1" applyBorder="1" applyFont="1">
      <alignment readingOrder="0"/>
    </xf>
    <xf borderId="7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/>
    </xf>
    <xf borderId="15" fillId="0" fontId="25" numFmtId="0" xfId="0" applyAlignment="1" applyBorder="1" applyFont="1">
      <alignment horizontal="left"/>
    </xf>
    <xf borderId="8" fillId="0" fontId="7" numFmtId="0" xfId="0" applyAlignment="1" applyBorder="1" applyFont="1">
      <alignment horizontal="center" readingOrder="0"/>
    </xf>
    <xf borderId="15" fillId="0" fontId="25" numFmtId="0" xfId="0" applyAlignment="1" applyBorder="1" applyFont="1">
      <alignment horizontal="left" readingOrder="0"/>
    </xf>
    <xf borderId="7" fillId="0" fontId="7" numFmtId="0" xfId="0" applyAlignment="1" applyBorder="1" applyFont="1">
      <alignment horizontal="center"/>
    </xf>
    <xf borderId="0" fillId="0" fontId="25" numFmtId="0" xfId="0" applyAlignment="1" applyFont="1">
      <alignment horizontal="left"/>
    </xf>
    <xf borderId="0" fillId="0" fontId="7" numFmtId="165" xfId="0" applyFont="1" applyNumberFormat="1"/>
    <xf borderId="0" fillId="0" fontId="1" numFmtId="0" xfId="0" applyAlignment="1" applyFont="1">
      <alignment horizontal="center" readingOrder="0" vertical="center"/>
    </xf>
    <xf borderId="8" fillId="0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165" xfId="0" applyAlignment="1" applyFont="1" applyNumberFormat="1">
      <alignment horizontal="center" vertical="center"/>
    </xf>
    <xf borderId="8" fillId="0" fontId="7" numFmtId="0" xfId="0" applyBorder="1" applyFont="1"/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BALANC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3114675" cy="25622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AF1001" displayName="Table_1" name="Table_1" id="1">
  <tableColumns count="3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</tableColumns>
  <tableStyleInfo name="BALANCE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23.88"/>
  </cols>
  <sheetData>
    <row r="1">
      <c r="A1" s="1" t="s">
        <v>0</v>
      </c>
      <c r="B1" s="3" t="s">
        <v>2</v>
      </c>
      <c r="C1" s="1" t="s">
        <v>4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0">
        <v>1.0</v>
      </c>
      <c r="B2" s="12" t="s">
        <v>16</v>
      </c>
    </row>
    <row r="3">
      <c r="A3" s="10">
        <v>2.0</v>
      </c>
      <c r="B3" s="14"/>
    </row>
    <row r="4">
      <c r="A4" s="10">
        <v>3.0</v>
      </c>
      <c r="B4" s="14"/>
    </row>
    <row r="5">
      <c r="A5" s="10">
        <v>4.0</v>
      </c>
      <c r="B5" s="14"/>
    </row>
    <row r="6">
      <c r="A6" s="10">
        <v>5.0</v>
      </c>
      <c r="B6" s="14"/>
    </row>
    <row r="7">
      <c r="A7" s="10">
        <v>6.0</v>
      </c>
      <c r="B7" s="14"/>
    </row>
    <row r="8">
      <c r="A8" s="10">
        <v>7.0</v>
      </c>
      <c r="B8" s="14"/>
    </row>
    <row r="9">
      <c r="A9" s="10">
        <v>8.0</v>
      </c>
      <c r="B9" s="14"/>
    </row>
    <row r="10">
      <c r="A10" s="10">
        <v>9.0</v>
      </c>
      <c r="B10" s="14"/>
    </row>
    <row r="11">
      <c r="A11" s="10">
        <v>10.0</v>
      </c>
      <c r="B11" s="14"/>
    </row>
    <row r="12">
      <c r="A12" s="10">
        <v>11.0</v>
      </c>
      <c r="B12" s="14"/>
    </row>
    <row r="13">
      <c r="A13" s="10">
        <v>12.0</v>
      </c>
      <c r="B13" s="14"/>
    </row>
    <row r="14">
      <c r="A14" s="10">
        <v>13.0</v>
      </c>
      <c r="B14" s="14"/>
    </row>
    <row r="15">
      <c r="A15" s="10">
        <v>14.0</v>
      </c>
      <c r="B15" s="14"/>
    </row>
    <row r="16">
      <c r="A16" s="10">
        <v>15.0</v>
      </c>
      <c r="B16" s="14"/>
    </row>
    <row r="17">
      <c r="A17" s="10">
        <v>16.0</v>
      </c>
      <c r="B17" s="14"/>
    </row>
    <row r="18">
      <c r="A18" s="10">
        <v>17.0</v>
      </c>
      <c r="B18" s="14"/>
    </row>
    <row r="19">
      <c r="A19" s="10">
        <v>18.0</v>
      </c>
      <c r="B19" s="14"/>
    </row>
    <row r="20">
      <c r="A20" s="10">
        <v>19.0</v>
      </c>
      <c r="B20" s="14"/>
    </row>
    <row r="21">
      <c r="A21" s="10">
        <v>20.0</v>
      </c>
      <c r="B21" s="14"/>
    </row>
    <row r="22">
      <c r="A22" s="10">
        <v>21.0</v>
      </c>
      <c r="B22" s="14"/>
    </row>
    <row r="23">
      <c r="A23" s="10">
        <v>22.0</v>
      </c>
      <c r="B23" s="14"/>
    </row>
    <row r="24">
      <c r="A24" s="10">
        <v>23.0</v>
      </c>
      <c r="B24" s="14"/>
    </row>
    <row r="25">
      <c r="A25" s="10">
        <v>24.0</v>
      </c>
      <c r="B25" s="14"/>
    </row>
    <row r="26">
      <c r="A26" s="10">
        <v>25.0</v>
      </c>
      <c r="B26" s="14"/>
    </row>
    <row r="27">
      <c r="A27" s="10">
        <v>26.0</v>
      </c>
      <c r="B27" s="14"/>
    </row>
    <row r="28">
      <c r="A28" s="10">
        <v>27.0</v>
      </c>
      <c r="B28" s="14"/>
    </row>
    <row r="29">
      <c r="A29" s="10">
        <v>28.0</v>
      </c>
      <c r="B29" s="14"/>
    </row>
    <row r="30">
      <c r="A30" s="10">
        <v>29.0</v>
      </c>
      <c r="B30" s="14"/>
    </row>
    <row r="31">
      <c r="A31" s="10">
        <v>30.0</v>
      </c>
      <c r="B31" s="14"/>
    </row>
    <row r="32">
      <c r="A32" s="10">
        <v>31.0</v>
      </c>
      <c r="B32" s="14"/>
    </row>
    <row r="33">
      <c r="A33" s="10">
        <v>32.0</v>
      </c>
      <c r="B33" s="14"/>
    </row>
    <row r="34">
      <c r="A34" s="10">
        <v>33.0</v>
      </c>
      <c r="B34" s="14"/>
    </row>
    <row r="35">
      <c r="A35" s="10">
        <v>34.0</v>
      </c>
      <c r="B35" s="14"/>
    </row>
    <row r="36">
      <c r="A36" s="10">
        <v>35.0</v>
      </c>
      <c r="B36" s="14"/>
    </row>
    <row r="37">
      <c r="A37" s="10">
        <v>36.0</v>
      </c>
      <c r="B37" s="14"/>
    </row>
    <row r="38">
      <c r="A38" s="10">
        <v>37.0</v>
      </c>
      <c r="B38" s="14"/>
    </row>
    <row r="39">
      <c r="A39" s="10">
        <v>38.0</v>
      </c>
      <c r="B39" s="14"/>
    </row>
    <row r="40">
      <c r="A40" s="10">
        <v>39.0</v>
      </c>
      <c r="B40" s="14"/>
    </row>
    <row r="41">
      <c r="A41" s="10">
        <v>40.0</v>
      </c>
      <c r="B41" s="14"/>
    </row>
    <row r="42">
      <c r="A42" s="10">
        <v>41.0</v>
      </c>
      <c r="B42" s="14"/>
    </row>
    <row r="43">
      <c r="A43" s="10">
        <v>42.0</v>
      </c>
      <c r="B43" s="14"/>
    </row>
    <row r="44">
      <c r="A44" s="10">
        <v>43.0</v>
      </c>
      <c r="B44" s="14"/>
    </row>
    <row r="45">
      <c r="A45" s="10">
        <v>44.0</v>
      </c>
      <c r="B45" s="14"/>
    </row>
    <row r="46">
      <c r="A46" s="10">
        <v>45.0</v>
      </c>
      <c r="B46" s="14"/>
    </row>
    <row r="47">
      <c r="A47" s="10">
        <v>46.0</v>
      </c>
      <c r="B47" s="14"/>
    </row>
    <row r="48">
      <c r="A48" s="10">
        <v>47.0</v>
      </c>
      <c r="B48" s="14"/>
    </row>
    <row r="49">
      <c r="A49" s="10">
        <v>48.0</v>
      </c>
      <c r="B49" s="14"/>
    </row>
    <row r="50">
      <c r="A50" s="10">
        <v>49.0</v>
      </c>
      <c r="B50" s="14"/>
    </row>
    <row r="51">
      <c r="A51" s="10">
        <v>50.0</v>
      </c>
      <c r="B51" s="14"/>
    </row>
    <row r="52">
      <c r="A52" s="23"/>
      <c r="B52" s="14"/>
    </row>
    <row r="53">
      <c r="A53" s="23"/>
      <c r="B53" s="14"/>
    </row>
    <row r="54">
      <c r="A54" s="23"/>
      <c r="B54" s="14"/>
    </row>
    <row r="55">
      <c r="A55" s="23"/>
      <c r="B55" s="14"/>
    </row>
    <row r="56">
      <c r="A56" s="23"/>
      <c r="B56" s="14"/>
    </row>
    <row r="57">
      <c r="A57" s="23"/>
      <c r="B57" s="14"/>
    </row>
    <row r="58">
      <c r="A58" s="23"/>
      <c r="B58" s="14"/>
    </row>
    <row r="59">
      <c r="A59" s="23"/>
      <c r="B59" s="14"/>
    </row>
    <row r="60">
      <c r="A60" s="23"/>
      <c r="B60" s="14"/>
    </row>
    <row r="61">
      <c r="A61" s="23"/>
      <c r="B61" s="14"/>
    </row>
    <row r="62">
      <c r="A62" s="23"/>
      <c r="B62" s="14"/>
    </row>
    <row r="63">
      <c r="A63" s="23"/>
      <c r="B63" s="14"/>
    </row>
    <row r="64">
      <c r="A64" s="23"/>
      <c r="B64" s="14"/>
    </row>
    <row r="65">
      <c r="A65" s="23"/>
      <c r="B65" s="14"/>
    </row>
    <row r="66">
      <c r="A66" s="23"/>
      <c r="B66" s="14"/>
    </row>
    <row r="67">
      <c r="A67" s="23"/>
      <c r="B67" s="14"/>
    </row>
    <row r="68">
      <c r="A68" s="23"/>
      <c r="B68" s="14"/>
    </row>
    <row r="69">
      <c r="A69" s="23"/>
      <c r="B69" s="14"/>
    </row>
    <row r="70">
      <c r="A70" s="23"/>
      <c r="B70" s="14"/>
    </row>
    <row r="71">
      <c r="A71" s="23"/>
      <c r="B71" s="14"/>
    </row>
    <row r="72">
      <c r="A72" s="23"/>
      <c r="B72" s="14"/>
    </row>
    <row r="73">
      <c r="A73" s="23"/>
      <c r="B73" s="14"/>
    </row>
    <row r="74">
      <c r="A74" s="23"/>
      <c r="B74" s="14"/>
    </row>
    <row r="75">
      <c r="A75" s="23"/>
      <c r="B75" s="14"/>
    </row>
    <row r="76">
      <c r="A76" s="23"/>
      <c r="B76" s="14"/>
    </row>
    <row r="77">
      <c r="A77" s="23"/>
      <c r="B77" s="14"/>
    </row>
    <row r="78">
      <c r="A78" s="23"/>
      <c r="B78" s="14"/>
    </row>
    <row r="79">
      <c r="A79" s="23"/>
      <c r="B79" s="14"/>
    </row>
    <row r="80">
      <c r="A80" s="23"/>
      <c r="B80" s="14"/>
    </row>
    <row r="81">
      <c r="A81" s="23"/>
      <c r="B81" s="14"/>
    </row>
    <row r="82">
      <c r="A82" s="23"/>
      <c r="B82" s="14"/>
    </row>
    <row r="83">
      <c r="A83" s="23"/>
      <c r="B83" s="14"/>
    </row>
    <row r="84">
      <c r="A84" s="23"/>
      <c r="B84" s="14"/>
    </row>
    <row r="85">
      <c r="A85" s="23"/>
      <c r="B85" s="14"/>
    </row>
    <row r="86">
      <c r="A86" s="23"/>
      <c r="B86" s="14"/>
    </row>
    <row r="87">
      <c r="A87" s="23"/>
      <c r="B87" s="14"/>
    </row>
    <row r="88">
      <c r="A88" s="23"/>
      <c r="B88" s="14"/>
    </row>
    <row r="89">
      <c r="A89" s="23"/>
      <c r="B89" s="14"/>
    </row>
    <row r="90">
      <c r="A90" s="23"/>
      <c r="B90" s="14"/>
    </row>
    <row r="91">
      <c r="A91" s="23"/>
      <c r="B91" s="14"/>
    </row>
    <row r="92">
      <c r="A92" s="23"/>
      <c r="B92" s="14"/>
    </row>
    <row r="93">
      <c r="A93" s="23"/>
      <c r="B93" s="14"/>
    </row>
    <row r="94">
      <c r="A94" s="23"/>
      <c r="B94" s="14"/>
    </row>
    <row r="95">
      <c r="A95" s="23"/>
      <c r="B95" s="14"/>
    </row>
    <row r="96">
      <c r="A96" s="23"/>
      <c r="B96" s="14"/>
    </row>
    <row r="97">
      <c r="A97" s="23"/>
      <c r="B97" s="14"/>
    </row>
    <row r="98">
      <c r="A98" s="23"/>
      <c r="B98" s="14"/>
    </row>
    <row r="99">
      <c r="A99" s="23"/>
      <c r="B99" s="14"/>
    </row>
    <row r="100">
      <c r="A100" s="23"/>
      <c r="B100" s="14"/>
    </row>
    <row r="101">
      <c r="A101" s="23"/>
      <c r="B101" s="14"/>
    </row>
    <row r="102">
      <c r="A102" s="23"/>
      <c r="B102" s="14"/>
    </row>
    <row r="103">
      <c r="A103" s="23"/>
      <c r="B103" s="14"/>
    </row>
    <row r="104">
      <c r="A104" s="23"/>
      <c r="B104" s="14"/>
    </row>
    <row r="105">
      <c r="A105" s="23"/>
      <c r="B105" s="14"/>
    </row>
    <row r="106">
      <c r="A106" s="23"/>
      <c r="B106" s="14"/>
    </row>
    <row r="107">
      <c r="A107" s="23"/>
      <c r="B107" s="14"/>
    </row>
    <row r="108">
      <c r="A108" s="23"/>
      <c r="B108" s="14"/>
    </row>
    <row r="109">
      <c r="A109" s="23"/>
      <c r="B109" s="14"/>
    </row>
    <row r="110">
      <c r="A110" s="23"/>
      <c r="B110" s="14"/>
    </row>
    <row r="111">
      <c r="A111" s="23"/>
      <c r="B111" s="14"/>
    </row>
    <row r="112">
      <c r="A112" s="23"/>
      <c r="B112" s="14"/>
    </row>
    <row r="113">
      <c r="A113" s="23"/>
      <c r="B113" s="14"/>
    </row>
    <row r="114">
      <c r="A114" s="23"/>
      <c r="B114" s="14"/>
    </row>
    <row r="115">
      <c r="A115" s="23"/>
      <c r="B115" s="14"/>
    </row>
    <row r="116">
      <c r="A116" s="23"/>
      <c r="B116" s="14"/>
    </row>
    <row r="117">
      <c r="A117" s="23"/>
      <c r="B117" s="14"/>
    </row>
    <row r="118">
      <c r="A118" s="23"/>
      <c r="B118" s="14"/>
    </row>
    <row r="119">
      <c r="A119" s="23"/>
      <c r="B119" s="14"/>
    </row>
    <row r="120">
      <c r="A120" s="23"/>
      <c r="B120" s="14"/>
    </row>
    <row r="121">
      <c r="A121" s="23"/>
      <c r="B121" s="14"/>
    </row>
    <row r="122">
      <c r="A122" s="23"/>
      <c r="B122" s="14"/>
    </row>
    <row r="123">
      <c r="A123" s="23"/>
      <c r="B123" s="14"/>
    </row>
    <row r="124">
      <c r="A124" s="23"/>
      <c r="B124" s="14"/>
    </row>
    <row r="125">
      <c r="A125" s="23"/>
      <c r="B125" s="14"/>
    </row>
    <row r="126">
      <c r="A126" s="23"/>
      <c r="B126" s="14"/>
    </row>
    <row r="127">
      <c r="A127" s="23"/>
      <c r="B127" s="14"/>
    </row>
    <row r="128">
      <c r="A128" s="23"/>
      <c r="B128" s="14"/>
    </row>
    <row r="129">
      <c r="A129" s="23"/>
      <c r="B129" s="14"/>
    </row>
    <row r="130">
      <c r="A130" s="23"/>
      <c r="B130" s="14"/>
    </row>
    <row r="131">
      <c r="A131" s="23"/>
      <c r="B131" s="14"/>
    </row>
    <row r="132">
      <c r="A132" s="23"/>
      <c r="B132" s="14"/>
    </row>
    <row r="133">
      <c r="A133" s="23"/>
      <c r="B133" s="14"/>
    </row>
    <row r="134">
      <c r="A134" s="23"/>
      <c r="B134" s="14"/>
    </row>
    <row r="135">
      <c r="A135" s="23"/>
      <c r="B135" s="14"/>
    </row>
    <row r="136">
      <c r="A136" s="23"/>
      <c r="B136" s="14"/>
    </row>
    <row r="137">
      <c r="A137" s="23"/>
      <c r="B137" s="14"/>
    </row>
    <row r="138">
      <c r="A138" s="23"/>
      <c r="B138" s="14"/>
    </row>
    <row r="139">
      <c r="A139" s="23"/>
      <c r="B139" s="14"/>
    </row>
    <row r="140">
      <c r="A140" s="23"/>
      <c r="B140" s="14"/>
    </row>
    <row r="141">
      <c r="A141" s="23"/>
      <c r="B141" s="14"/>
    </row>
    <row r="142">
      <c r="A142" s="23"/>
      <c r="B142" s="14"/>
    </row>
    <row r="143">
      <c r="A143" s="23"/>
      <c r="B143" s="14"/>
    </row>
    <row r="144">
      <c r="A144" s="23"/>
      <c r="B144" s="14"/>
    </row>
    <row r="145">
      <c r="A145" s="23"/>
      <c r="B145" s="14"/>
    </row>
    <row r="146">
      <c r="A146" s="23"/>
      <c r="B146" s="14"/>
    </row>
    <row r="147">
      <c r="A147" s="23"/>
      <c r="B147" s="14"/>
    </row>
    <row r="148">
      <c r="A148" s="23"/>
      <c r="B148" s="14"/>
    </row>
    <row r="149">
      <c r="A149" s="23"/>
      <c r="B149" s="14"/>
    </row>
    <row r="150">
      <c r="A150" s="23"/>
      <c r="B150" s="14"/>
    </row>
    <row r="151">
      <c r="A151" s="23"/>
      <c r="B151" s="14"/>
    </row>
    <row r="152">
      <c r="A152" s="23"/>
      <c r="B152" s="14"/>
    </row>
    <row r="153">
      <c r="A153" s="23"/>
      <c r="B153" s="14"/>
    </row>
    <row r="154">
      <c r="A154" s="23"/>
      <c r="B154" s="14"/>
    </row>
    <row r="155">
      <c r="A155" s="23"/>
      <c r="B155" s="14"/>
    </row>
    <row r="156">
      <c r="A156" s="23"/>
      <c r="B156" s="14"/>
    </row>
    <row r="157">
      <c r="A157" s="23"/>
      <c r="B157" s="14"/>
    </row>
    <row r="158">
      <c r="A158" s="23"/>
      <c r="B158" s="14"/>
    </row>
    <row r="159">
      <c r="A159" s="23"/>
      <c r="B159" s="14"/>
    </row>
    <row r="160">
      <c r="A160" s="23"/>
      <c r="B160" s="14"/>
    </row>
    <row r="161">
      <c r="A161" s="23"/>
      <c r="B161" s="14"/>
    </row>
    <row r="162">
      <c r="A162" s="23"/>
      <c r="B162" s="14"/>
    </row>
    <row r="163">
      <c r="A163" s="23"/>
      <c r="B163" s="14"/>
    </row>
    <row r="164">
      <c r="A164" s="23"/>
      <c r="B164" s="14"/>
    </row>
    <row r="165">
      <c r="A165" s="23"/>
      <c r="B165" s="14"/>
    </row>
    <row r="166">
      <c r="A166" s="23"/>
      <c r="B166" s="14"/>
    </row>
    <row r="167">
      <c r="A167" s="23"/>
      <c r="B167" s="14"/>
    </row>
    <row r="168">
      <c r="A168" s="23"/>
      <c r="B168" s="14"/>
    </row>
    <row r="169">
      <c r="A169" s="23"/>
      <c r="B169" s="14"/>
    </row>
    <row r="170">
      <c r="A170" s="23"/>
      <c r="B170" s="14"/>
    </row>
    <row r="171">
      <c r="A171" s="23"/>
      <c r="B171" s="14"/>
    </row>
    <row r="172">
      <c r="A172" s="23"/>
      <c r="B172" s="14"/>
    </row>
    <row r="173">
      <c r="A173" s="23"/>
      <c r="B173" s="14"/>
    </row>
    <row r="174">
      <c r="A174" s="23"/>
      <c r="B174" s="14"/>
    </row>
    <row r="175">
      <c r="A175" s="23"/>
      <c r="B175" s="14"/>
    </row>
    <row r="176">
      <c r="A176" s="23"/>
      <c r="B176" s="14"/>
    </row>
    <row r="177">
      <c r="A177" s="23"/>
      <c r="B177" s="14"/>
    </row>
    <row r="178">
      <c r="A178" s="23"/>
      <c r="B178" s="14"/>
    </row>
    <row r="179">
      <c r="A179" s="23"/>
      <c r="B179" s="14"/>
    </row>
    <row r="180">
      <c r="A180" s="23"/>
      <c r="B180" s="14"/>
    </row>
    <row r="181">
      <c r="A181" s="23"/>
      <c r="B181" s="14"/>
    </row>
    <row r="182">
      <c r="A182" s="23"/>
      <c r="B182" s="14"/>
    </row>
    <row r="183">
      <c r="A183" s="23"/>
      <c r="B183" s="14"/>
    </row>
    <row r="184">
      <c r="A184" s="23"/>
      <c r="B184" s="14"/>
    </row>
    <row r="185">
      <c r="A185" s="23"/>
      <c r="B185" s="14"/>
    </row>
    <row r="186">
      <c r="A186" s="23"/>
      <c r="B186" s="14"/>
    </row>
    <row r="187">
      <c r="A187" s="23"/>
      <c r="B187" s="14"/>
    </row>
    <row r="188">
      <c r="A188" s="23"/>
      <c r="B188" s="14"/>
    </row>
    <row r="189">
      <c r="A189" s="23"/>
      <c r="B189" s="14"/>
    </row>
    <row r="190">
      <c r="A190" s="23"/>
      <c r="B190" s="14"/>
    </row>
    <row r="191">
      <c r="A191" s="23"/>
      <c r="B191" s="14"/>
    </row>
    <row r="192">
      <c r="A192" s="23"/>
      <c r="B192" s="14"/>
    </row>
    <row r="193">
      <c r="A193" s="23"/>
      <c r="B193" s="14"/>
    </row>
    <row r="194">
      <c r="A194" s="23"/>
      <c r="B194" s="14"/>
    </row>
    <row r="195">
      <c r="A195" s="23"/>
      <c r="B195" s="14"/>
    </row>
    <row r="196">
      <c r="A196" s="23"/>
      <c r="B196" s="14"/>
    </row>
    <row r="197">
      <c r="A197" s="23"/>
      <c r="B197" s="14"/>
    </row>
    <row r="198">
      <c r="A198" s="23"/>
      <c r="B198" s="14"/>
    </row>
    <row r="199">
      <c r="A199" s="23"/>
      <c r="B199" s="14"/>
    </row>
    <row r="200">
      <c r="A200" s="23"/>
      <c r="B200" s="14"/>
    </row>
    <row r="201">
      <c r="A201" s="23"/>
      <c r="B201" s="14"/>
    </row>
    <row r="202">
      <c r="A202" s="23"/>
      <c r="B202" s="14"/>
    </row>
    <row r="203">
      <c r="A203" s="23"/>
      <c r="B203" s="14"/>
    </row>
    <row r="204">
      <c r="A204" s="23"/>
      <c r="B204" s="14"/>
    </row>
    <row r="205">
      <c r="A205" s="23"/>
      <c r="B205" s="14"/>
    </row>
    <row r="206">
      <c r="A206" s="23"/>
      <c r="B206" s="14"/>
    </row>
    <row r="207">
      <c r="A207" s="23"/>
      <c r="B207" s="14"/>
    </row>
    <row r="208">
      <c r="A208" s="23"/>
      <c r="B208" s="14"/>
    </row>
    <row r="209">
      <c r="A209" s="23"/>
      <c r="B209" s="14"/>
    </row>
    <row r="210">
      <c r="A210" s="23"/>
      <c r="B210" s="14"/>
    </row>
    <row r="211">
      <c r="A211" s="23"/>
      <c r="B211" s="14"/>
    </row>
    <row r="212">
      <c r="A212" s="23"/>
      <c r="B212" s="14"/>
    </row>
    <row r="213">
      <c r="A213" s="23"/>
      <c r="B213" s="14"/>
    </row>
    <row r="214">
      <c r="A214" s="23"/>
      <c r="B214" s="14"/>
    </row>
    <row r="215">
      <c r="A215" s="23"/>
      <c r="B215" s="14"/>
    </row>
    <row r="216">
      <c r="A216" s="23"/>
      <c r="B216" s="14"/>
    </row>
    <row r="217">
      <c r="A217" s="23"/>
      <c r="B217" s="14"/>
    </row>
    <row r="218">
      <c r="A218" s="23"/>
      <c r="B218" s="14"/>
    </row>
    <row r="219">
      <c r="A219" s="23"/>
      <c r="B219" s="14"/>
    </row>
    <row r="220">
      <c r="A220" s="23"/>
      <c r="B220" s="14"/>
    </row>
    <row r="221">
      <c r="A221" s="23"/>
      <c r="B221" s="14"/>
    </row>
    <row r="222">
      <c r="A222" s="23"/>
      <c r="B222" s="14"/>
    </row>
    <row r="223">
      <c r="A223" s="23"/>
      <c r="B223" s="14"/>
    </row>
    <row r="224">
      <c r="A224" s="23"/>
      <c r="B224" s="14"/>
    </row>
    <row r="225">
      <c r="A225" s="23"/>
      <c r="B225" s="14"/>
    </row>
    <row r="226">
      <c r="A226" s="23"/>
      <c r="B226" s="14"/>
    </row>
    <row r="227">
      <c r="A227" s="23"/>
      <c r="B227" s="14"/>
    </row>
    <row r="228">
      <c r="A228" s="23"/>
      <c r="B228" s="14"/>
    </row>
    <row r="229">
      <c r="A229" s="23"/>
      <c r="B229" s="14"/>
    </row>
    <row r="230">
      <c r="A230" s="23"/>
      <c r="B230" s="14"/>
    </row>
    <row r="231">
      <c r="A231" s="23"/>
      <c r="B231" s="14"/>
    </row>
    <row r="232">
      <c r="A232" s="23"/>
      <c r="B232" s="14"/>
    </row>
    <row r="233">
      <c r="A233" s="23"/>
      <c r="B233" s="14"/>
    </row>
    <row r="234">
      <c r="A234" s="23"/>
      <c r="B234" s="14"/>
    </row>
    <row r="235">
      <c r="A235" s="23"/>
      <c r="B235" s="14"/>
    </row>
    <row r="236">
      <c r="A236" s="23"/>
      <c r="B236" s="14"/>
    </row>
    <row r="237">
      <c r="A237" s="23"/>
      <c r="B237" s="14"/>
    </row>
    <row r="238">
      <c r="A238" s="23"/>
      <c r="B238" s="14"/>
    </row>
    <row r="239">
      <c r="A239" s="23"/>
      <c r="B239" s="14"/>
    </row>
    <row r="240">
      <c r="A240" s="23"/>
      <c r="B240" s="14"/>
    </row>
    <row r="241">
      <c r="A241" s="23"/>
      <c r="B241" s="14"/>
    </row>
    <row r="242">
      <c r="A242" s="23"/>
      <c r="B242" s="14"/>
    </row>
    <row r="243">
      <c r="A243" s="23"/>
      <c r="B243" s="14"/>
    </row>
    <row r="244">
      <c r="A244" s="23"/>
      <c r="B244" s="14"/>
    </row>
    <row r="245">
      <c r="A245" s="23"/>
      <c r="B245" s="14"/>
    </row>
    <row r="246">
      <c r="A246" s="23"/>
      <c r="B246" s="14"/>
    </row>
    <row r="247">
      <c r="A247" s="23"/>
      <c r="B247" s="14"/>
    </row>
    <row r="248">
      <c r="A248" s="23"/>
      <c r="B248" s="14"/>
    </row>
    <row r="249">
      <c r="A249" s="23"/>
      <c r="B249" s="14"/>
    </row>
    <row r="250">
      <c r="A250" s="23"/>
      <c r="B250" s="14"/>
    </row>
    <row r="251">
      <c r="A251" s="23"/>
      <c r="B251" s="14"/>
    </row>
    <row r="252">
      <c r="A252" s="23"/>
      <c r="B252" s="14"/>
    </row>
    <row r="253">
      <c r="A253" s="23"/>
      <c r="B253" s="14"/>
    </row>
    <row r="254">
      <c r="A254" s="23"/>
      <c r="B254" s="14"/>
    </row>
    <row r="255">
      <c r="A255" s="23"/>
      <c r="B255" s="14"/>
    </row>
    <row r="256">
      <c r="A256" s="23"/>
      <c r="B256" s="14"/>
    </row>
    <row r="257">
      <c r="A257" s="23"/>
      <c r="B257" s="14"/>
    </row>
    <row r="258">
      <c r="A258" s="23"/>
      <c r="B258" s="14"/>
    </row>
    <row r="259">
      <c r="A259" s="23"/>
      <c r="B259" s="14"/>
    </row>
    <row r="260">
      <c r="A260" s="23"/>
      <c r="B260" s="14"/>
    </row>
    <row r="261">
      <c r="A261" s="23"/>
      <c r="B261" s="14"/>
    </row>
    <row r="262">
      <c r="A262" s="23"/>
      <c r="B262" s="14"/>
    </row>
    <row r="263">
      <c r="A263" s="23"/>
      <c r="B263" s="14"/>
    </row>
    <row r="264">
      <c r="A264" s="23"/>
      <c r="B264" s="14"/>
    </row>
    <row r="265">
      <c r="A265" s="23"/>
      <c r="B265" s="14"/>
    </row>
    <row r="266">
      <c r="A266" s="23"/>
      <c r="B266" s="14"/>
    </row>
    <row r="267">
      <c r="A267" s="23"/>
      <c r="B267" s="14"/>
    </row>
    <row r="268">
      <c r="A268" s="23"/>
      <c r="B268" s="14"/>
    </row>
    <row r="269">
      <c r="A269" s="23"/>
      <c r="B269" s="14"/>
    </row>
    <row r="270">
      <c r="A270" s="23"/>
      <c r="B270" s="14"/>
    </row>
    <row r="271">
      <c r="A271" s="23"/>
      <c r="B271" s="14"/>
    </row>
    <row r="272">
      <c r="A272" s="23"/>
      <c r="B272" s="14"/>
    </row>
    <row r="273">
      <c r="A273" s="23"/>
      <c r="B273" s="14"/>
    </row>
    <row r="274">
      <c r="A274" s="23"/>
      <c r="B274" s="14"/>
    </row>
    <row r="275">
      <c r="A275" s="23"/>
      <c r="B275" s="14"/>
    </row>
    <row r="276">
      <c r="A276" s="23"/>
      <c r="B276" s="14"/>
    </row>
    <row r="277">
      <c r="A277" s="23"/>
      <c r="B277" s="14"/>
    </row>
    <row r="278">
      <c r="A278" s="23"/>
      <c r="B278" s="14"/>
    </row>
    <row r="279">
      <c r="A279" s="23"/>
      <c r="B279" s="14"/>
    </row>
    <row r="280">
      <c r="A280" s="23"/>
      <c r="B280" s="14"/>
    </row>
    <row r="281">
      <c r="A281" s="23"/>
      <c r="B281" s="14"/>
    </row>
    <row r="282">
      <c r="A282" s="23"/>
      <c r="B282" s="14"/>
    </row>
    <row r="283">
      <c r="A283" s="23"/>
      <c r="B283" s="14"/>
    </row>
    <row r="284">
      <c r="A284" s="23"/>
      <c r="B284" s="14"/>
    </row>
    <row r="285">
      <c r="A285" s="23"/>
      <c r="B285" s="14"/>
    </row>
    <row r="286">
      <c r="A286" s="23"/>
      <c r="B286" s="14"/>
    </row>
    <row r="287">
      <c r="A287" s="23"/>
      <c r="B287" s="14"/>
    </row>
    <row r="288">
      <c r="A288" s="23"/>
      <c r="B288" s="14"/>
    </row>
    <row r="289">
      <c r="A289" s="23"/>
      <c r="B289" s="14"/>
    </row>
    <row r="290">
      <c r="A290" s="23"/>
      <c r="B290" s="14"/>
    </row>
    <row r="291">
      <c r="A291" s="23"/>
      <c r="B291" s="14"/>
    </row>
    <row r="292">
      <c r="A292" s="23"/>
      <c r="B292" s="14"/>
    </row>
    <row r="293">
      <c r="A293" s="23"/>
      <c r="B293" s="14"/>
    </row>
    <row r="294">
      <c r="A294" s="23"/>
      <c r="B294" s="14"/>
    </row>
    <row r="295">
      <c r="A295" s="23"/>
      <c r="B295" s="14"/>
    </row>
    <row r="296">
      <c r="A296" s="23"/>
      <c r="B296" s="14"/>
    </row>
    <row r="297">
      <c r="A297" s="23"/>
      <c r="B297" s="14"/>
    </row>
    <row r="298">
      <c r="A298" s="23"/>
      <c r="B298" s="14"/>
    </row>
    <row r="299">
      <c r="A299" s="23"/>
      <c r="B299" s="14"/>
    </row>
    <row r="300">
      <c r="A300" s="23"/>
      <c r="B300" s="14"/>
    </row>
    <row r="301">
      <c r="A301" s="23"/>
      <c r="B301" s="14"/>
    </row>
    <row r="302">
      <c r="A302" s="23"/>
      <c r="B302" s="14"/>
    </row>
    <row r="303">
      <c r="A303" s="23"/>
      <c r="B303" s="14"/>
    </row>
    <row r="304">
      <c r="A304" s="23"/>
      <c r="B304" s="14"/>
    </row>
    <row r="305">
      <c r="A305" s="23"/>
      <c r="B305" s="14"/>
    </row>
    <row r="306">
      <c r="A306" s="23"/>
      <c r="B306" s="14"/>
    </row>
    <row r="307">
      <c r="A307" s="23"/>
      <c r="B307" s="14"/>
    </row>
    <row r="308">
      <c r="A308" s="23"/>
      <c r="B308" s="14"/>
    </row>
    <row r="309">
      <c r="A309" s="23"/>
      <c r="B309" s="14"/>
    </row>
    <row r="310">
      <c r="A310" s="23"/>
      <c r="B310" s="14"/>
    </row>
    <row r="311">
      <c r="A311" s="23"/>
      <c r="B311" s="14"/>
    </row>
    <row r="312">
      <c r="A312" s="23"/>
      <c r="B312" s="14"/>
    </row>
    <row r="313">
      <c r="A313" s="23"/>
      <c r="B313" s="14"/>
    </row>
    <row r="314">
      <c r="A314" s="23"/>
      <c r="B314" s="14"/>
    </row>
    <row r="315">
      <c r="A315" s="23"/>
      <c r="B315" s="14"/>
    </row>
    <row r="316">
      <c r="A316" s="23"/>
      <c r="B316" s="14"/>
    </row>
    <row r="317">
      <c r="A317" s="23"/>
      <c r="B317" s="14"/>
    </row>
    <row r="318">
      <c r="A318" s="23"/>
      <c r="B318" s="14"/>
    </row>
    <row r="319">
      <c r="A319" s="23"/>
      <c r="B319" s="14"/>
    </row>
    <row r="320">
      <c r="A320" s="23"/>
      <c r="B320" s="14"/>
    </row>
    <row r="321">
      <c r="A321" s="23"/>
      <c r="B321" s="14"/>
    </row>
    <row r="322">
      <c r="A322" s="23"/>
      <c r="B322" s="14"/>
    </row>
    <row r="323">
      <c r="A323" s="23"/>
      <c r="B323" s="14"/>
    </row>
    <row r="324">
      <c r="A324" s="23"/>
      <c r="B324" s="14"/>
    </row>
    <row r="325">
      <c r="A325" s="23"/>
      <c r="B325" s="14"/>
    </row>
    <row r="326">
      <c r="A326" s="23"/>
      <c r="B326" s="14"/>
    </row>
    <row r="327">
      <c r="A327" s="23"/>
      <c r="B327" s="14"/>
    </row>
    <row r="328">
      <c r="A328" s="23"/>
      <c r="B328" s="14"/>
    </row>
    <row r="329">
      <c r="A329" s="23"/>
      <c r="B329" s="14"/>
    </row>
    <row r="330">
      <c r="A330" s="23"/>
      <c r="B330" s="14"/>
    </row>
    <row r="331">
      <c r="A331" s="23"/>
      <c r="B331" s="14"/>
    </row>
    <row r="332">
      <c r="A332" s="23"/>
      <c r="B332" s="14"/>
    </row>
    <row r="333">
      <c r="A333" s="23"/>
      <c r="B333" s="14"/>
    </row>
    <row r="334">
      <c r="A334" s="23"/>
      <c r="B334" s="14"/>
    </row>
    <row r="335">
      <c r="A335" s="23"/>
      <c r="B335" s="14"/>
    </row>
    <row r="336">
      <c r="A336" s="23"/>
      <c r="B336" s="14"/>
    </row>
    <row r="337">
      <c r="A337" s="23"/>
      <c r="B337" s="14"/>
    </row>
    <row r="338">
      <c r="A338" s="23"/>
      <c r="B338" s="14"/>
    </row>
    <row r="339">
      <c r="A339" s="23"/>
      <c r="B339" s="14"/>
    </row>
    <row r="340">
      <c r="A340" s="23"/>
      <c r="B340" s="14"/>
    </row>
    <row r="341">
      <c r="A341" s="23"/>
      <c r="B341" s="14"/>
    </row>
    <row r="342">
      <c r="A342" s="23"/>
      <c r="B342" s="14"/>
    </row>
    <row r="343">
      <c r="A343" s="23"/>
      <c r="B343" s="14"/>
    </row>
    <row r="344">
      <c r="A344" s="23"/>
      <c r="B344" s="14"/>
    </row>
    <row r="345">
      <c r="A345" s="23"/>
      <c r="B345" s="14"/>
    </row>
    <row r="346">
      <c r="A346" s="23"/>
      <c r="B346" s="14"/>
    </row>
    <row r="347">
      <c r="A347" s="23"/>
      <c r="B347" s="14"/>
    </row>
    <row r="348">
      <c r="A348" s="23"/>
      <c r="B348" s="14"/>
    </row>
    <row r="349">
      <c r="A349" s="23"/>
      <c r="B349" s="14"/>
    </row>
    <row r="350">
      <c r="A350" s="23"/>
      <c r="B350" s="14"/>
    </row>
    <row r="351">
      <c r="A351" s="23"/>
      <c r="B351" s="14"/>
    </row>
    <row r="352">
      <c r="A352" s="23"/>
      <c r="B352" s="14"/>
    </row>
    <row r="353">
      <c r="A353" s="23"/>
      <c r="B353" s="14"/>
    </row>
    <row r="354">
      <c r="A354" s="23"/>
      <c r="B354" s="14"/>
    </row>
    <row r="355">
      <c r="A355" s="23"/>
      <c r="B355" s="14"/>
    </row>
    <row r="356">
      <c r="A356" s="23"/>
      <c r="B356" s="14"/>
    </row>
    <row r="357">
      <c r="A357" s="23"/>
      <c r="B357" s="14"/>
    </row>
    <row r="358">
      <c r="A358" s="23"/>
      <c r="B358" s="14"/>
    </row>
    <row r="359">
      <c r="A359" s="23"/>
      <c r="B359" s="14"/>
    </row>
    <row r="360">
      <c r="A360" s="23"/>
      <c r="B360" s="14"/>
    </row>
    <row r="361">
      <c r="A361" s="23"/>
      <c r="B361" s="14"/>
    </row>
    <row r="362">
      <c r="A362" s="23"/>
      <c r="B362" s="14"/>
    </row>
    <row r="363">
      <c r="A363" s="23"/>
      <c r="B363" s="14"/>
    </row>
    <row r="364">
      <c r="A364" s="23"/>
      <c r="B364" s="14"/>
    </row>
    <row r="365">
      <c r="A365" s="23"/>
      <c r="B365" s="14"/>
    </row>
    <row r="366">
      <c r="A366" s="23"/>
      <c r="B366" s="14"/>
    </row>
    <row r="367">
      <c r="A367" s="23"/>
      <c r="B367" s="14"/>
    </row>
    <row r="368">
      <c r="A368" s="23"/>
      <c r="B368" s="14"/>
    </row>
    <row r="369">
      <c r="A369" s="23"/>
      <c r="B369" s="14"/>
    </row>
    <row r="370">
      <c r="A370" s="23"/>
      <c r="B370" s="14"/>
    </row>
    <row r="371">
      <c r="A371" s="23"/>
      <c r="B371" s="14"/>
    </row>
    <row r="372">
      <c r="A372" s="23"/>
      <c r="B372" s="14"/>
    </row>
    <row r="373">
      <c r="A373" s="23"/>
      <c r="B373" s="14"/>
    </row>
    <row r="374">
      <c r="A374" s="23"/>
      <c r="B374" s="14"/>
    </row>
    <row r="375">
      <c r="A375" s="23"/>
      <c r="B375" s="14"/>
    </row>
    <row r="376">
      <c r="A376" s="23"/>
      <c r="B376" s="14"/>
    </row>
    <row r="377">
      <c r="A377" s="23"/>
      <c r="B377" s="14"/>
    </row>
    <row r="378">
      <c r="A378" s="23"/>
      <c r="B378" s="14"/>
    </row>
    <row r="379">
      <c r="A379" s="23"/>
      <c r="B379" s="14"/>
    </row>
    <row r="380">
      <c r="A380" s="23"/>
      <c r="B380" s="14"/>
    </row>
    <row r="381">
      <c r="A381" s="23"/>
      <c r="B381" s="14"/>
    </row>
    <row r="382">
      <c r="A382" s="23"/>
      <c r="B382" s="14"/>
    </row>
    <row r="383">
      <c r="A383" s="23"/>
      <c r="B383" s="14"/>
    </row>
    <row r="384">
      <c r="A384" s="23"/>
      <c r="B384" s="14"/>
    </row>
    <row r="385">
      <c r="A385" s="23"/>
      <c r="B385" s="14"/>
    </row>
    <row r="386">
      <c r="A386" s="23"/>
      <c r="B386" s="14"/>
    </row>
    <row r="387">
      <c r="A387" s="23"/>
      <c r="B387" s="14"/>
    </row>
    <row r="388">
      <c r="A388" s="23"/>
      <c r="B388" s="14"/>
    </row>
    <row r="389">
      <c r="A389" s="23"/>
      <c r="B389" s="14"/>
    </row>
    <row r="390">
      <c r="A390" s="23"/>
      <c r="B390" s="14"/>
    </row>
    <row r="391">
      <c r="A391" s="23"/>
      <c r="B391" s="14"/>
    </row>
    <row r="392">
      <c r="A392" s="23"/>
      <c r="B392" s="14"/>
    </row>
    <row r="393">
      <c r="A393" s="23"/>
      <c r="B393" s="14"/>
    </row>
    <row r="394">
      <c r="A394" s="23"/>
      <c r="B394" s="14"/>
    </row>
    <row r="395">
      <c r="A395" s="23"/>
      <c r="B395" s="14"/>
    </row>
    <row r="396">
      <c r="A396" s="23"/>
      <c r="B396" s="14"/>
    </row>
    <row r="397">
      <c r="A397" s="23"/>
      <c r="B397" s="14"/>
    </row>
    <row r="398">
      <c r="A398" s="23"/>
      <c r="B398" s="14"/>
    </row>
    <row r="399">
      <c r="A399" s="23"/>
      <c r="B399" s="14"/>
    </row>
    <row r="400">
      <c r="A400" s="23"/>
      <c r="B400" s="14"/>
    </row>
    <row r="401">
      <c r="A401" s="23"/>
      <c r="B401" s="14"/>
    </row>
    <row r="402">
      <c r="A402" s="23"/>
      <c r="B402" s="14"/>
    </row>
    <row r="403">
      <c r="A403" s="23"/>
      <c r="B403" s="14"/>
    </row>
    <row r="404">
      <c r="A404" s="23"/>
      <c r="B404" s="14"/>
    </row>
    <row r="405">
      <c r="A405" s="23"/>
      <c r="B405" s="14"/>
    </row>
    <row r="406">
      <c r="A406" s="23"/>
      <c r="B406" s="14"/>
    </row>
    <row r="407">
      <c r="A407" s="23"/>
      <c r="B407" s="14"/>
    </row>
    <row r="408">
      <c r="A408" s="23"/>
      <c r="B408" s="14"/>
    </row>
    <row r="409">
      <c r="A409" s="23"/>
      <c r="B409" s="14"/>
    </row>
    <row r="410">
      <c r="A410" s="23"/>
      <c r="B410" s="14"/>
    </row>
    <row r="411">
      <c r="A411" s="23"/>
      <c r="B411" s="14"/>
    </row>
    <row r="412">
      <c r="A412" s="23"/>
      <c r="B412" s="14"/>
    </row>
    <row r="413">
      <c r="A413" s="23"/>
      <c r="B413" s="14"/>
    </row>
    <row r="414">
      <c r="A414" s="23"/>
      <c r="B414" s="14"/>
    </row>
    <row r="415">
      <c r="A415" s="23"/>
      <c r="B415" s="14"/>
    </row>
    <row r="416">
      <c r="A416" s="23"/>
      <c r="B416" s="14"/>
    </row>
    <row r="417">
      <c r="A417" s="23"/>
      <c r="B417" s="14"/>
    </row>
    <row r="418">
      <c r="A418" s="23"/>
      <c r="B418" s="14"/>
    </row>
    <row r="419">
      <c r="A419" s="23"/>
      <c r="B419" s="14"/>
    </row>
    <row r="420">
      <c r="A420" s="23"/>
      <c r="B420" s="14"/>
    </row>
    <row r="421">
      <c r="A421" s="23"/>
      <c r="B421" s="14"/>
    </row>
    <row r="422">
      <c r="A422" s="23"/>
      <c r="B422" s="14"/>
    </row>
    <row r="423">
      <c r="A423" s="23"/>
      <c r="B423" s="14"/>
    </row>
    <row r="424">
      <c r="A424" s="23"/>
      <c r="B424" s="14"/>
    </row>
    <row r="425">
      <c r="A425" s="23"/>
      <c r="B425" s="14"/>
    </row>
    <row r="426">
      <c r="A426" s="23"/>
      <c r="B426" s="14"/>
    </row>
    <row r="427">
      <c r="A427" s="23"/>
      <c r="B427" s="14"/>
    </row>
    <row r="428">
      <c r="A428" s="23"/>
      <c r="B428" s="14"/>
    </row>
    <row r="429">
      <c r="A429" s="23"/>
      <c r="B429" s="14"/>
    </row>
    <row r="430">
      <c r="A430" s="23"/>
      <c r="B430" s="14"/>
    </row>
    <row r="431">
      <c r="A431" s="23"/>
      <c r="B431" s="14"/>
    </row>
    <row r="432">
      <c r="A432" s="23"/>
      <c r="B432" s="14"/>
    </row>
    <row r="433">
      <c r="A433" s="23"/>
      <c r="B433" s="14"/>
    </row>
    <row r="434">
      <c r="A434" s="23"/>
      <c r="B434" s="14"/>
    </row>
    <row r="435">
      <c r="A435" s="23"/>
      <c r="B435" s="14"/>
    </row>
    <row r="436">
      <c r="A436" s="23"/>
      <c r="B436" s="14"/>
    </row>
    <row r="437">
      <c r="A437" s="23"/>
      <c r="B437" s="14"/>
    </row>
    <row r="438">
      <c r="A438" s="23"/>
      <c r="B438" s="14"/>
    </row>
    <row r="439">
      <c r="A439" s="23"/>
      <c r="B439" s="14"/>
    </row>
    <row r="440">
      <c r="A440" s="23"/>
      <c r="B440" s="14"/>
    </row>
    <row r="441">
      <c r="A441" s="23"/>
      <c r="B441" s="14"/>
    </row>
    <row r="442">
      <c r="A442" s="23"/>
      <c r="B442" s="14"/>
    </row>
    <row r="443">
      <c r="A443" s="23"/>
      <c r="B443" s="14"/>
    </row>
    <row r="444">
      <c r="A444" s="23"/>
      <c r="B444" s="14"/>
    </row>
    <row r="445">
      <c r="A445" s="23"/>
      <c r="B445" s="14"/>
    </row>
    <row r="446">
      <c r="A446" s="23"/>
      <c r="B446" s="14"/>
    </row>
    <row r="447">
      <c r="A447" s="23"/>
      <c r="B447" s="14"/>
    </row>
    <row r="448">
      <c r="A448" s="23"/>
      <c r="B448" s="14"/>
    </row>
    <row r="449">
      <c r="A449" s="23"/>
      <c r="B449" s="14"/>
    </row>
    <row r="450">
      <c r="A450" s="23"/>
      <c r="B450" s="14"/>
    </row>
    <row r="451">
      <c r="A451" s="23"/>
      <c r="B451" s="14"/>
    </row>
    <row r="452">
      <c r="A452" s="23"/>
      <c r="B452" s="14"/>
    </row>
    <row r="453">
      <c r="A453" s="23"/>
      <c r="B453" s="14"/>
    </row>
    <row r="454">
      <c r="A454" s="23"/>
      <c r="B454" s="14"/>
    </row>
    <row r="455">
      <c r="A455" s="23"/>
      <c r="B455" s="14"/>
    </row>
    <row r="456">
      <c r="A456" s="23"/>
      <c r="B456" s="14"/>
    </row>
    <row r="457">
      <c r="A457" s="23"/>
      <c r="B457" s="14"/>
    </row>
    <row r="458">
      <c r="A458" s="23"/>
      <c r="B458" s="14"/>
    </row>
    <row r="459">
      <c r="A459" s="23"/>
      <c r="B459" s="14"/>
    </row>
    <row r="460">
      <c r="A460" s="23"/>
      <c r="B460" s="14"/>
    </row>
    <row r="461">
      <c r="A461" s="23"/>
      <c r="B461" s="14"/>
    </row>
    <row r="462">
      <c r="A462" s="23"/>
      <c r="B462" s="14"/>
    </row>
    <row r="463">
      <c r="A463" s="23"/>
      <c r="B463" s="14"/>
    </row>
    <row r="464">
      <c r="A464" s="23"/>
      <c r="B464" s="14"/>
    </row>
    <row r="465">
      <c r="A465" s="23"/>
      <c r="B465" s="14"/>
    </row>
    <row r="466">
      <c r="A466" s="23"/>
      <c r="B466" s="14"/>
    </row>
    <row r="467">
      <c r="A467" s="23"/>
      <c r="B467" s="14"/>
    </row>
    <row r="468">
      <c r="A468" s="23"/>
      <c r="B468" s="14"/>
    </row>
    <row r="469">
      <c r="A469" s="23"/>
      <c r="B469" s="14"/>
    </row>
    <row r="470">
      <c r="A470" s="23"/>
      <c r="B470" s="14"/>
    </row>
    <row r="471">
      <c r="A471" s="23"/>
      <c r="B471" s="14"/>
    </row>
    <row r="472">
      <c r="A472" s="23"/>
      <c r="B472" s="14"/>
    </row>
    <row r="473">
      <c r="A473" s="23"/>
      <c r="B473" s="14"/>
    </row>
    <row r="474">
      <c r="A474" s="23"/>
      <c r="B474" s="14"/>
    </row>
    <row r="475">
      <c r="A475" s="23"/>
      <c r="B475" s="14"/>
    </row>
    <row r="476">
      <c r="A476" s="23"/>
      <c r="B476" s="14"/>
    </row>
    <row r="477">
      <c r="A477" s="23"/>
      <c r="B477" s="14"/>
    </row>
    <row r="478">
      <c r="A478" s="23"/>
      <c r="B478" s="14"/>
    </row>
    <row r="479">
      <c r="A479" s="23"/>
      <c r="B479" s="14"/>
    </row>
    <row r="480">
      <c r="A480" s="23"/>
      <c r="B480" s="14"/>
    </row>
    <row r="481">
      <c r="A481" s="23"/>
      <c r="B481" s="14"/>
    </row>
    <row r="482">
      <c r="A482" s="23"/>
      <c r="B482" s="14"/>
    </row>
    <row r="483">
      <c r="A483" s="23"/>
      <c r="B483" s="14"/>
    </row>
    <row r="484">
      <c r="A484" s="23"/>
      <c r="B484" s="14"/>
    </row>
    <row r="485">
      <c r="A485" s="23"/>
      <c r="B485" s="14"/>
    </row>
    <row r="486">
      <c r="A486" s="23"/>
      <c r="B486" s="14"/>
    </row>
    <row r="487">
      <c r="A487" s="23"/>
      <c r="B487" s="14"/>
    </row>
    <row r="488">
      <c r="A488" s="23"/>
      <c r="B488" s="14"/>
    </row>
    <row r="489">
      <c r="A489" s="23"/>
      <c r="B489" s="14"/>
    </row>
    <row r="490">
      <c r="A490" s="23"/>
      <c r="B490" s="14"/>
    </row>
    <row r="491">
      <c r="A491" s="23"/>
      <c r="B491" s="14"/>
    </row>
    <row r="492">
      <c r="A492" s="23"/>
      <c r="B492" s="14"/>
    </row>
    <row r="493">
      <c r="A493" s="23"/>
      <c r="B493" s="14"/>
    </row>
    <row r="494">
      <c r="A494" s="23"/>
      <c r="B494" s="14"/>
    </row>
    <row r="495">
      <c r="A495" s="23"/>
      <c r="B495" s="14"/>
    </row>
    <row r="496">
      <c r="A496" s="23"/>
      <c r="B496" s="14"/>
    </row>
    <row r="497">
      <c r="A497" s="23"/>
      <c r="B497" s="14"/>
    </row>
    <row r="498">
      <c r="A498" s="23"/>
      <c r="B498" s="14"/>
    </row>
    <row r="499">
      <c r="A499" s="23"/>
      <c r="B499" s="14"/>
    </row>
    <row r="500">
      <c r="A500" s="23"/>
      <c r="B500" s="14"/>
    </row>
    <row r="501">
      <c r="A501" s="23"/>
      <c r="B501" s="14"/>
    </row>
    <row r="502">
      <c r="A502" s="23"/>
      <c r="B502" s="14"/>
    </row>
    <row r="503">
      <c r="A503" s="23"/>
      <c r="B503" s="14"/>
    </row>
    <row r="504">
      <c r="A504" s="23"/>
      <c r="B504" s="14"/>
    </row>
    <row r="505">
      <c r="A505" s="23"/>
      <c r="B505" s="14"/>
    </row>
    <row r="506">
      <c r="A506" s="23"/>
      <c r="B506" s="14"/>
    </row>
    <row r="507">
      <c r="A507" s="23"/>
      <c r="B507" s="14"/>
    </row>
    <row r="508">
      <c r="A508" s="23"/>
      <c r="B508" s="14"/>
    </row>
    <row r="509">
      <c r="A509" s="23"/>
      <c r="B509" s="14"/>
    </row>
    <row r="510">
      <c r="A510" s="23"/>
      <c r="B510" s="14"/>
    </row>
    <row r="511">
      <c r="A511" s="23"/>
      <c r="B511" s="14"/>
    </row>
    <row r="512">
      <c r="A512" s="23"/>
      <c r="B512" s="14"/>
    </row>
    <row r="513">
      <c r="A513" s="23"/>
      <c r="B513" s="14"/>
    </row>
    <row r="514">
      <c r="A514" s="23"/>
      <c r="B514" s="14"/>
    </row>
    <row r="515">
      <c r="A515" s="23"/>
      <c r="B515" s="14"/>
    </row>
    <row r="516">
      <c r="A516" s="23"/>
      <c r="B516" s="14"/>
    </row>
    <row r="517">
      <c r="A517" s="23"/>
      <c r="B517" s="14"/>
    </row>
    <row r="518">
      <c r="A518" s="23"/>
      <c r="B518" s="14"/>
    </row>
    <row r="519">
      <c r="A519" s="23"/>
      <c r="B519" s="14"/>
    </row>
    <row r="520">
      <c r="A520" s="23"/>
      <c r="B520" s="14"/>
    </row>
    <row r="521">
      <c r="A521" s="23"/>
      <c r="B521" s="14"/>
    </row>
    <row r="522">
      <c r="A522" s="23"/>
      <c r="B522" s="14"/>
    </row>
    <row r="523">
      <c r="A523" s="23"/>
      <c r="B523" s="14"/>
    </row>
    <row r="524">
      <c r="A524" s="23"/>
      <c r="B524" s="14"/>
    </row>
    <row r="525">
      <c r="A525" s="23"/>
      <c r="B525" s="14"/>
    </row>
    <row r="526">
      <c r="A526" s="23"/>
      <c r="B526" s="14"/>
    </row>
    <row r="527">
      <c r="A527" s="23"/>
      <c r="B527" s="14"/>
    </row>
    <row r="528">
      <c r="A528" s="23"/>
      <c r="B528" s="14"/>
    </row>
    <row r="529">
      <c r="A529" s="23"/>
      <c r="B529" s="14"/>
    </row>
    <row r="530">
      <c r="A530" s="23"/>
      <c r="B530" s="14"/>
    </row>
    <row r="531">
      <c r="A531" s="23"/>
      <c r="B531" s="14"/>
    </row>
    <row r="532">
      <c r="A532" s="23"/>
      <c r="B532" s="14"/>
    </row>
    <row r="533">
      <c r="A533" s="23"/>
      <c r="B533" s="14"/>
    </row>
    <row r="534">
      <c r="A534" s="23"/>
      <c r="B534" s="14"/>
    </row>
    <row r="535">
      <c r="A535" s="23"/>
      <c r="B535" s="14"/>
    </row>
    <row r="536">
      <c r="A536" s="23"/>
      <c r="B536" s="14"/>
    </row>
    <row r="537">
      <c r="A537" s="23"/>
      <c r="B537" s="14"/>
    </row>
    <row r="538">
      <c r="A538" s="23"/>
      <c r="B538" s="14"/>
    </row>
    <row r="539">
      <c r="A539" s="23"/>
      <c r="B539" s="14"/>
    </row>
    <row r="540">
      <c r="A540" s="23"/>
      <c r="B540" s="14"/>
    </row>
    <row r="541">
      <c r="A541" s="23"/>
      <c r="B541" s="14"/>
    </row>
    <row r="542">
      <c r="A542" s="23"/>
      <c r="B542" s="14"/>
    </row>
    <row r="543">
      <c r="A543" s="23"/>
      <c r="B543" s="14"/>
    </row>
    <row r="544">
      <c r="A544" s="23"/>
      <c r="B544" s="14"/>
    </row>
    <row r="545">
      <c r="A545" s="23"/>
      <c r="B545" s="14"/>
    </row>
    <row r="546">
      <c r="A546" s="23"/>
      <c r="B546" s="14"/>
    </row>
    <row r="547">
      <c r="A547" s="23"/>
      <c r="B547" s="14"/>
    </row>
    <row r="548">
      <c r="A548" s="23"/>
      <c r="B548" s="14"/>
    </row>
    <row r="549">
      <c r="A549" s="23"/>
      <c r="B549" s="14"/>
    </row>
    <row r="550">
      <c r="A550" s="23"/>
      <c r="B550" s="14"/>
    </row>
    <row r="551">
      <c r="A551" s="23"/>
      <c r="B551" s="14"/>
    </row>
    <row r="552">
      <c r="A552" s="23"/>
      <c r="B552" s="14"/>
    </row>
    <row r="553">
      <c r="A553" s="23"/>
      <c r="B553" s="14"/>
    </row>
    <row r="554">
      <c r="A554" s="23"/>
      <c r="B554" s="14"/>
    </row>
    <row r="555">
      <c r="A555" s="23"/>
      <c r="B555" s="14"/>
    </row>
    <row r="556">
      <c r="A556" s="23"/>
      <c r="B556" s="14"/>
    </row>
    <row r="557">
      <c r="A557" s="23"/>
      <c r="B557" s="14"/>
    </row>
    <row r="558">
      <c r="A558" s="23"/>
      <c r="B558" s="14"/>
    </row>
    <row r="559">
      <c r="A559" s="23"/>
      <c r="B559" s="14"/>
    </row>
    <row r="560">
      <c r="A560" s="23"/>
      <c r="B560" s="14"/>
    </row>
    <row r="561">
      <c r="A561" s="23"/>
      <c r="B561" s="14"/>
    </row>
    <row r="562">
      <c r="A562" s="23"/>
      <c r="B562" s="14"/>
    </row>
    <row r="563">
      <c r="A563" s="23"/>
      <c r="B563" s="14"/>
    </row>
    <row r="564">
      <c r="A564" s="23"/>
      <c r="B564" s="14"/>
    </row>
    <row r="565">
      <c r="A565" s="23"/>
      <c r="B565" s="14"/>
    </row>
    <row r="566">
      <c r="A566" s="23"/>
      <c r="B566" s="14"/>
    </row>
    <row r="567">
      <c r="A567" s="23"/>
      <c r="B567" s="14"/>
    </row>
    <row r="568">
      <c r="A568" s="23"/>
      <c r="B568" s="14"/>
    </row>
    <row r="569">
      <c r="A569" s="23"/>
      <c r="B569" s="14"/>
    </row>
    <row r="570">
      <c r="A570" s="23"/>
      <c r="B570" s="14"/>
    </row>
    <row r="571">
      <c r="A571" s="23"/>
      <c r="B571" s="14"/>
    </row>
    <row r="572">
      <c r="A572" s="23"/>
      <c r="B572" s="14"/>
    </row>
    <row r="573">
      <c r="A573" s="23"/>
      <c r="B573" s="14"/>
    </row>
    <row r="574">
      <c r="A574" s="23"/>
      <c r="B574" s="14"/>
    </row>
    <row r="575">
      <c r="A575" s="23"/>
      <c r="B575" s="14"/>
    </row>
    <row r="576">
      <c r="A576" s="23"/>
      <c r="B576" s="14"/>
    </row>
    <row r="577">
      <c r="A577" s="23"/>
      <c r="B577" s="14"/>
    </row>
    <row r="578">
      <c r="A578" s="23"/>
      <c r="B578" s="14"/>
    </row>
    <row r="579">
      <c r="A579" s="23"/>
      <c r="B579" s="14"/>
    </row>
    <row r="580">
      <c r="A580" s="23"/>
      <c r="B580" s="14"/>
    </row>
    <row r="581">
      <c r="A581" s="23"/>
      <c r="B581" s="14"/>
    </row>
    <row r="582">
      <c r="A582" s="23"/>
      <c r="B582" s="14"/>
    </row>
    <row r="583">
      <c r="A583" s="23"/>
      <c r="B583" s="14"/>
    </row>
    <row r="584">
      <c r="A584" s="23"/>
      <c r="B584" s="14"/>
    </row>
    <row r="585">
      <c r="A585" s="23"/>
      <c r="B585" s="14"/>
    </row>
    <row r="586">
      <c r="A586" s="23"/>
      <c r="B586" s="14"/>
    </row>
    <row r="587">
      <c r="A587" s="23"/>
      <c r="B587" s="14"/>
    </row>
    <row r="588">
      <c r="A588" s="23"/>
      <c r="B588" s="14"/>
    </row>
    <row r="589">
      <c r="A589" s="23"/>
      <c r="B589" s="14"/>
    </row>
    <row r="590">
      <c r="A590" s="23"/>
      <c r="B590" s="14"/>
    </row>
    <row r="591">
      <c r="A591" s="23"/>
      <c r="B591" s="14"/>
    </row>
    <row r="592">
      <c r="A592" s="23"/>
      <c r="B592" s="14"/>
    </row>
    <row r="593">
      <c r="A593" s="23"/>
      <c r="B593" s="14"/>
    </row>
    <row r="594">
      <c r="A594" s="23"/>
      <c r="B594" s="14"/>
    </row>
    <row r="595">
      <c r="A595" s="23"/>
      <c r="B595" s="14"/>
    </row>
    <row r="596">
      <c r="A596" s="23"/>
      <c r="B596" s="14"/>
    </row>
    <row r="597">
      <c r="A597" s="23"/>
      <c r="B597" s="14"/>
    </row>
    <row r="598">
      <c r="A598" s="23"/>
      <c r="B598" s="14"/>
    </row>
    <row r="599">
      <c r="A599" s="23"/>
      <c r="B599" s="14"/>
    </row>
    <row r="600">
      <c r="A600" s="23"/>
      <c r="B600" s="14"/>
    </row>
    <row r="601">
      <c r="A601" s="23"/>
      <c r="B601" s="14"/>
    </row>
    <row r="602">
      <c r="A602" s="23"/>
      <c r="B602" s="14"/>
    </row>
    <row r="603">
      <c r="A603" s="23"/>
      <c r="B603" s="14"/>
    </row>
    <row r="604">
      <c r="A604" s="23"/>
      <c r="B604" s="14"/>
    </row>
    <row r="605">
      <c r="A605" s="23"/>
      <c r="B605" s="14"/>
    </row>
    <row r="606">
      <c r="A606" s="23"/>
      <c r="B606" s="14"/>
    </row>
    <row r="607">
      <c r="A607" s="23"/>
      <c r="B607" s="14"/>
    </row>
    <row r="608">
      <c r="A608" s="23"/>
      <c r="B608" s="14"/>
    </row>
    <row r="609">
      <c r="A609" s="23"/>
      <c r="B609" s="14"/>
    </row>
    <row r="610">
      <c r="A610" s="23"/>
      <c r="B610" s="14"/>
    </row>
    <row r="611">
      <c r="A611" s="23"/>
      <c r="B611" s="14"/>
    </row>
    <row r="612">
      <c r="A612" s="23"/>
      <c r="B612" s="14"/>
    </row>
    <row r="613">
      <c r="A613" s="23"/>
      <c r="B613" s="14"/>
    </row>
    <row r="614">
      <c r="A614" s="23"/>
      <c r="B614" s="14"/>
    </row>
    <row r="615">
      <c r="A615" s="23"/>
      <c r="B615" s="14"/>
    </row>
    <row r="616">
      <c r="A616" s="23"/>
      <c r="B616" s="14"/>
    </row>
    <row r="617">
      <c r="A617" s="23"/>
      <c r="B617" s="14"/>
    </row>
    <row r="618">
      <c r="A618" s="23"/>
      <c r="B618" s="14"/>
    </row>
    <row r="619">
      <c r="A619" s="23"/>
      <c r="B619" s="14"/>
    </row>
    <row r="620">
      <c r="A620" s="23"/>
      <c r="B620" s="14"/>
    </row>
    <row r="621">
      <c r="A621" s="23"/>
      <c r="B621" s="14"/>
    </row>
    <row r="622">
      <c r="A622" s="23"/>
      <c r="B622" s="14"/>
    </row>
    <row r="623">
      <c r="A623" s="23"/>
      <c r="B623" s="14"/>
    </row>
    <row r="624">
      <c r="A624" s="23"/>
      <c r="B624" s="14"/>
    </row>
    <row r="625">
      <c r="A625" s="23"/>
      <c r="B625" s="14"/>
    </row>
    <row r="626">
      <c r="A626" s="23"/>
      <c r="B626" s="14"/>
    </row>
    <row r="627">
      <c r="A627" s="23"/>
      <c r="B627" s="14"/>
    </row>
    <row r="628">
      <c r="A628" s="23"/>
      <c r="B628" s="14"/>
    </row>
    <row r="629">
      <c r="A629" s="23"/>
      <c r="B629" s="14"/>
    </row>
    <row r="630">
      <c r="A630" s="23"/>
      <c r="B630" s="14"/>
    </row>
    <row r="631">
      <c r="A631" s="23"/>
      <c r="B631" s="14"/>
    </row>
    <row r="632">
      <c r="A632" s="23"/>
      <c r="B632" s="14"/>
    </row>
    <row r="633">
      <c r="A633" s="23"/>
      <c r="B633" s="14"/>
    </row>
    <row r="634">
      <c r="A634" s="23"/>
      <c r="B634" s="14"/>
    </row>
    <row r="635">
      <c r="A635" s="23"/>
      <c r="B635" s="14"/>
    </row>
    <row r="636">
      <c r="A636" s="23"/>
      <c r="B636" s="14"/>
    </row>
    <row r="637">
      <c r="A637" s="23"/>
      <c r="B637" s="14"/>
    </row>
    <row r="638">
      <c r="A638" s="23"/>
      <c r="B638" s="14"/>
    </row>
    <row r="639">
      <c r="A639" s="23"/>
      <c r="B639" s="14"/>
    </row>
    <row r="640">
      <c r="A640" s="23"/>
      <c r="B640" s="14"/>
    </row>
    <row r="641">
      <c r="A641" s="23"/>
      <c r="B641" s="14"/>
    </row>
    <row r="642">
      <c r="A642" s="23"/>
      <c r="B642" s="14"/>
    </row>
    <row r="643">
      <c r="A643" s="23"/>
      <c r="B643" s="14"/>
    </row>
    <row r="644">
      <c r="A644" s="23"/>
      <c r="B644" s="14"/>
    </row>
    <row r="645">
      <c r="A645" s="23"/>
      <c r="B645" s="14"/>
    </row>
    <row r="646">
      <c r="A646" s="23"/>
      <c r="B646" s="14"/>
    </row>
    <row r="647">
      <c r="A647" s="23"/>
      <c r="B647" s="14"/>
    </row>
    <row r="648">
      <c r="A648" s="23"/>
      <c r="B648" s="14"/>
    </row>
    <row r="649">
      <c r="A649" s="23"/>
      <c r="B649" s="14"/>
    </row>
    <row r="650">
      <c r="A650" s="23"/>
      <c r="B650" s="14"/>
    </row>
    <row r="651">
      <c r="A651" s="23"/>
      <c r="B651" s="14"/>
    </row>
    <row r="652">
      <c r="A652" s="23"/>
      <c r="B652" s="14"/>
    </row>
    <row r="653">
      <c r="A653" s="23"/>
      <c r="B653" s="14"/>
    </row>
    <row r="654">
      <c r="A654" s="23"/>
      <c r="B654" s="14"/>
    </row>
    <row r="655">
      <c r="A655" s="23"/>
      <c r="B655" s="14"/>
    </row>
    <row r="656">
      <c r="A656" s="23"/>
      <c r="B656" s="14"/>
    </row>
    <row r="657">
      <c r="A657" s="23"/>
      <c r="B657" s="14"/>
    </row>
    <row r="658">
      <c r="A658" s="23"/>
      <c r="B658" s="14"/>
    </row>
    <row r="659">
      <c r="A659" s="23"/>
      <c r="B659" s="14"/>
    </row>
    <row r="660">
      <c r="A660" s="23"/>
      <c r="B660" s="14"/>
    </row>
    <row r="661">
      <c r="A661" s="23"/>
      <c r="B661" s="14"/>
    </row>
    <row r="662">
      <c r="A662" s="23"/>
      <c r="B662" s="14"/>
    </row>
    <row r="663">
      <c r="A663" s="23"/>
      <c r="B663" s="14"/>
    </row>
    <row r="664">
      <c r="A664" s="23"/>
      <c r="B664" s="14"/>
    </row>
    <row r="665">
      <c r="A665" s="23"/>
      <c r="B665" s="14"/>
    </row>
    <row r="666">
      <c r="A666" s="23"/>
      <c r="B666" s="14"/>
    </row>
    <row r="667">
      <c r="A667" s="23"/>
      <c r="B667" s="14"/>
    </row>
    <row r="668">
      <c r="A668" s="23"/>
      <c r="B668" s="14"/>
    </row>
    <row r="669">
      <c r="A669" s="23"/>
      <c r="B669" s="14"/>
    </row>
    <row r="670">
      <c r="A670" s="23"/>
      <c r="B670" s="14"/>
    </row>
    <row r="671">
      <c r="A671" s="23"/>
      <c r="B671" s="14"/>
    </row>
    <row r="672">
      <c r="A672" s="23"/>
      <c r="B672" s="14"/>
    </row>
    <row r="673">
      <c r="A673" s="23"/>
      <c r="B673" s="14"/>
    </row>
    <row r="674">
      <c r="A674" s="23"/>
      <c r="B674" s="14"/>
    </row>
    <row r="675">
      <c r="A675" s="23"/>
      <c r="B675" s="14"/>
    </row>
    <row r="676">
      <c r="A676" s="23"/>
      <c r="B676" s="14"/>
    </row>
    <row r="677">
      <c r="A677" s="23"/>
      <c r="B677" s="14"/>
    </row>
    <row r="678">
      <c r="A678" s="23"/>
      <c r="B678" s="14"/>
    </row>
    <row r="679">
      <c r="A679" s="23"/>
      <c r="B679" s="14"/>
    </row>
    <row r="680">
      <c r="A680" s="23"/>
      <c r="B680" s="14"/>
    </row>
    <row r="681">
      <c r="A681" s="23"/>
      <c r="B681" s="14"/>
    </row>
    <row r="682">
      <c r="A682" s="23"/>
      <c r="B682" s="14"/>
    </row>
    <row r="683">
      <c r="A683" s="23"/>
      <c r="B683" s="14"/>
    </row>
    <row r="684">
      <c r="A684" s="23"/>
      <c r="B684" s="14"/>
    </row>
    <row r="685">
      <c r="A685" s="23"/>
      <c r="B685" s="14"/>
    </row>
    <row r="686">
      <c r="A686" s="23"/>
      <c r="B686" s="14"/>
    </row>
    <row r="687">
      <c r="A687" s="23"/>
      <c r="B687" s="14"/>
    </row>
    <row r="688">
      <c r="A688" s="23"/>
      <c r="B688" s="14"/>
    </row>
    <row r="689">
      <c r="A689" s="23"/>
      <c r="B689" s="14"/>
    </row>
    <row r="690">
      <c r="A690" s="23"/>
      <c r="B690" s="14"/>
    </row>
    <row r="691">
      <c r="A691" s="23"/>
      <c r="B691" s="14"/>
    </row>
    <row r="692">
      <c r="A692" s="23"/>
      <c r="B692" s="14"/>
    </row>
    <row r="693">
      <c r="A693" s="23"/>
      <c r="B693" s="14"/>
    </row>
    <row r="694">
      <c r="A694" s="23"/>
      <c r="B694" s="14"/>
    </row>
    <row r="695">
      <c r="A695" s="23"/>
      <c r="B695" s="14"/>
    </row>
    <row r="696">
      <c r="A696" s="23"/>
      <c r="B696" s="14"/>
    </row>
    <row r="697">
      <c r="A697" s="23"/>
      <c r="B697" s="14"/>
    </row>
    <row r="698">
      <c r="A698" s="23"/>
      <c r="B698" s="14"/>
    </row>
    <row r="699">
      <c r="A699" s="23"/>
      <c r="B699" s="14"/>
    </row>
    <row r="700">
      <c r="A700" s="23"/>
      <c r="B700" s="14"/>
    </row>
    <row r="701">
      <c r="A701" s="23"/>
      <c r="B701" s="14"/>
    </row>
    <row r="702">
      <c r="A702" s="23"/>
      <c r="B702" s="14"/>
    </row>
    <row r="703">
      <c r="A703" s="23"/>
      <c r="B703" s="14"/>
    </row>
    <row r="704">
      <c r="A704" s="23"/>
      <c r="B704" s="14"/>
    </row>
    <row r="705">
      <c r="A705" s="23"/>
      <c r="B705" s="14"/>
    </row>
    <row r="706">
      <c r="A706" s="23"/>
      <c r="B706" s="14"/>
    </row>
    <row r="707">
      <c r="A707" s="23"/>
      <c r="B707" s="14"/>
    </row>
    <row r="708">
      <c r="A708" s="23"/>
      <c r="B708" s="14"/>
    </row>
    <row r="709">
      <c r="A709" s="23"/>
      <c r="B709" s="14"/>
    </row>
    <row r="710">
      <c r="A710" s="23"/>
      <c r="B710" s="14"/>
    </row>
    <row r="711">
      <c r="A711" s="23"/>
      <c r="B711" s="14"/>
    </row>
    <row r="712">
      <c r="A712" s="23"/>
      <c r="B712" s="14"/>
    </row>
    <row r="713">
      <c r="A713" s="23"/>
      <c r="B713" s="14"/>
    </row>
    <row r="714">
      <c r="A714" s="23"/>
      <c r="B714" s="14"/>
    </row>
    <row r="715">
      <c r="A715" s="23"/>
      <c r="B715" s="14"/>
    </row>
    <row r="716">
      <c r="A716" s="23"/>
      <c r="B716" s="14"/>
    </row>
    <row r="717">
      <c r="A717" s="23"/>
      <c r="B717" s="14"/>
    </row>
    <row r="718">
      <c r="A718" s="23"/>
      <c r="B718" s="14"/>
    </row>
    <row r="719">
      <c r="A719" s="23"/>
      <c r="B719" s="14"/>
    </row>
    <row r="720">
      <c r="A720" s="23"/>
      <c r="B720" s="14"/>
    </row>
    <row r="721">
      <c r="A721" s="23"/>
      <c r="B721" s="14"/>
    </row>
    <row r="722">
      <c r="A722" s="23"/>
      <c r="B722" s="14"/>
    </row>
    <row r="723">
      <c r="A723" s="23"/>
      <c r="B723" s="14"/>
    </row>
    <row r="724">
      <c r="A724" s="23"/>
      <c r="B724" s="14"/>
    </row>
    <row r="725">
      <c r="A725" s="23"/>
      <c r="B725" s="14"/>
    </row>
    <row r="726">
      <c r="A726" s="23"/>
      <c r="B726" s="14"/>
    </row>
    <row r="727">
      <c r="A727" s="23"/>
      <c r="B727" s="14"/>
    </row>
    <row r="728">
      <c r="A728" s="23"/>
      <c r="B728" s="14"/>
    </row>
    <row r="729">
      <c r="A729" s="23"/>
      <c r="B729" s="14"/>
    </row>
    <row r="730">
      <c r="A730" s="23"/>
      <c r="B730" s="14"/>
    </row>
    <row r="731">
      <c r="A731" s="23"/>
      <c r="B731" s="14"/>
    </row>
    <row r="732">
      <c r="A732" s="23"/>
      <c r="B732" s="14"/>
    </row>
    <row r="733">
      <c r="A733" s="23"/>
      <c r="B733" s="14"/>
    </row>
    <row r="734">
      <c r="A734" s="23"/>
      <c r="B734" s="14"/>
    </row>
    <row r="735">
      <c r="A735" s="23"/>
      <c r="B735" s="14"/>
    </row>
    <row r="736">
      <c r="A736" s="23"/>
      <c r="B736" s="14"/>
    </row>
    <row r="737">
      <c r="A737" s="23"/>
      <c r="B737" s="14"/>
    </row>
    <row r="738">
      <c r="A738" s="23"/>
      <c r="B738" s="14"/>
    </row>
    <row r="739">
      <c r="A739" s="23"/>
      <c r="B739" s="14"/>
    </row>
    <row r="740">
      <c r="A740" s="23"/>
      <c r="B740" s="14"/>
    </row>
    <row r="741">
      <c r="A741" s="23"/>
      <c r="B741" s="14"/>
    </row>
    <row r="742">
      <c r="A742" s="23"/>
      <c r="B742" s="14"/>
    </row>
    <row r="743">
      <c r="A743" s="23"/>
      <c r="B743" s="14"/>
    </row>
    <row r="744">
      <c r="A744" s="23"/>
      <c r="B744" s="14"/>
    </row>
    <row r="745">
      <c r="A745" s="23"/>
      <c r="B745" s="14"/>
    </row>
    <row r="746">
      <c r="A746" s="23"/>
      <c r="B746" s="14"/>
    </row>
    <row r="747">
      <c r="A747" s="23"/>
      <c r="B747" s="14"/>
    </row>
    <row r="748">
      <c r="A748" s="23"/>
      <c r="B748" s="14"/>
    </row>
    <row r="749">
      <c r="A749" s="23"/>
      <c r="B749" s="14"/>
    </row>
    <row r="750">
      <c r="A750" s="23"/>
      <c r="B750" s="14"/>
    </row>
    <row r="751">
      <c r="A751" s="23"/>
      <c r="B751" s="14"/>
    </row>
    <row r="752">
      <c r="A752" s="23"/>
      <c r="B752" s="14"/>
    </row>
    <row r="753">
      <c r="A753" s="23"/>
      <c r="B753" s="14"/>
    </row>
    <row r="754">
      <c r="A754" s="23"/>
      <c r="B754" s="14"/>
    </row>
    <row r="755">
      <c r="A755" s="23"/>
      <c r="B755" s="14"/>
    </row>
    <row r="756">
      <c r="A756" s="23"/>
      <c r="B756" s="14"/>
    </row>
    <row r="757">
      <c r="A757" s="23"/>
      <c r="B757" s="14"/>
    </row>
    <row r="758">
      <c r="A758" s="23"/>
      <c r="B758" s="14"/>
    </row>
    <row r="759">
      <c r="A759" s="23"/>
      <c r="B759" s="14"/>
    </row>
    <row r="760">
      <c r="A760" s="23"/>
      <c r="B760" s="14"/>
    </row>
    <row r="761">
      <c r="A761" s="23"/>
      <c r="B761" s="14"/>
    </row>
    <row r="762">
      <c r="A762" s="23"/>
      <c r="B762" s="14"/>
    </row>
    <row r="763">
      <c r="A763" s="23"/>
      <c r="B763" s="14"/>
    </row>
    <row r="764">
      <c r="A764" s="23"/>
      <c r="B764" s="14"/>
    </row>
    <row r="765">
      <c r="A765" s="23"/>
      <c r="B765" s="14"/>
    </row>
    <row r="766">
      <c r="A766" s="23"/>
      <c r="B766" s="14"/>
    </row>
    <row r="767">
      <c r="A767" s="23"/>
      <c r="B767" s="14"/>
    </row>
    <row r="768">
      <c r="A768" s="23"/>
      <c r="B768" s="14"/>
    </row>
    <row r="769">
      <c r="A769" s="23"/>
      <c r="B769" s="14"/>
    </row>
    <row r="770">
      <c r="A770" s="23"/>
      <c r="B770" s="14"/>
    </row>
    <row r="771">
      <c r="A771" s="23"/>
      <c r="B771" s="14"/>
    </row>
    <row r="772">
      <c r="A772" s="23"/>
      <c r="B772" s="14"/>
    </row>
    <row r="773">
      <c r="A773" s="23"/>
      <c r="B773" s="14"/>
    </row>
    <row r="774">
      <c r="A774" s="23"/>
      <c r="B774" s="14"/>
    </row>
    <row r="775">
      <c r="A775" s="23"/>
      <c r="B775" s="14"/>
    </row>
    <row r="776">
      <c r="A776" s="23"/>
      <c r="B776" s="14"/>
    </row>
    <row r="777">
      <c r="A777" s="23"/>
      <c r="B777" s="14"/>
    </row>
    <row r="778">
      <c r="A778" s="23"/>
      <c r="B778" s="14"/>
    </row>
    <row r="779">
      <c r="A779" s="23"/>
      <c r="B779" s="14"/>
    </row>
    <row r="780">
      <c r="A780" s="23"/>
      <c r="B780" s="14"/>
    </row>
    <row r="781">
      <c r="A781" s="23"/>
      <c r="B781" s="14"/>
    </row>
    <row r="782">
      <c r="A782" s="23"/>
      <c r="B782" s="14"/>
    </row>
    <row r="783">
      <c r="A783" s="23"/>
      <c r="B783" s="14"/>
    </row>
    <row r="784">
      <c r="A784" s="23"/>
      <c r="B784" s="14"/>
    </row>
    <row r="785">
      <c r="A785" s="23"/>
      <c r="B785" s="14"/>
    </row>
    <row r="786">
      <c r="A786" s="23"/>
      <c r="B786" s="14"/>
    </row>
    <row r="787">
      <c r="A787" s="23"/>
      <c r="B787" s="14"/>
    </row>
    <row r="788">
      <c r="A788" s="23"/>
      <c r="B788" s="14"/>
    </row>
    <row r="789">
      <c r="A789" s="23"/>
      <c r="B789" s="14"/>
    </row>
    <row r="790">
      <c r="A790" s="23"/>
      <c r="B790" s="14"/>
    </row>
    <row r="791">
      <c r="A791" s="23"/>
      <c r="B791" s="14"/>
    </row>
    <row r="792">
      <c r="A792" s="23"/>
      <c r="B792" s="14"/>
    </row>
    <row r="793">
      <c r="A793" s="23"/>
      <c r="B793" s="14"/>
    </row>
    <row r="794">
      <c r="A794" s="23"/>
      <c r="B794" s="14"/>
    </row>
    <row r="795">
      <c r="A795" s="23"/>
      <c r="B795" s="14"/>
    </row>
    <row r="796">
      <c r="A796" s="23"/>
      <c r="B796" s="14"/>
    </row>
    <row r="797">
      <c r="A797" s="23"/>
      <c r="B797" s="14"/>
    </row>
    <row r="798">
      <c r="A798" s="23"/>
      <c r="B798" s="14"/>
    </row>
    <row r="799">
      <c r="A799" s="23"/>
      <c r="B799" s="14"/>
    </row>
    <row r="800">
      <c r="A800" s="23"/>
      <c r="B800" s="14"/>
    </row>
    <row r="801">
      <c r="A801" s="23"/>
      <c r="B801" s="14"/>
    </row>
    <row r="802">
      <c r="A802" s="23"/>
      <c r="B802" s="14"/>
    </row>
    <row r="803">
      <c r="A803" s="23"/>
      <c r="B803" s="14"/>
    </row>
    <row r="804">
      <c r="A804" s="23"/>
      <c r="B804" s="14"/>
    </row>
    <row r="805">
      <c r="A805" s="23"/>
      <c r="B805" s="14"/>
    </row>
    <row r="806">
      <c r="A806" s="23"/>
      <c r="B806" s="14"/>
    </row>
    <row r="807">
      <c r="A807" s="23"/>
      <c r="B807" s="14"/>
    </row>
    <row r="808">
      <c r="A808" s="23"/>
      <c r="B808" s="14"/>
    </row>
    <row r="809">
      <c r="A809" s="23"/>
      <c r="B809" s="14"/>
    </row>
    <row r="810">
      <c r="A810" s="23"/>
      <c r="B810" s="14"/>
    </row>
    <row r="811">
      <c r="A811" s="23"/>
      <c r="B811" s="14"/>
    </row>
    <row r="812">
      <c r="A812" s="23"/>
      <c r="B812" s="14"/>
    </row>
    <row r="813">
      <c r="A813" s="23"/>
      <c r="B813" s="14"/>
    </row>
    <row r="814">
      <c r="A814" s="23"/>
      <c r="B814" s="14"/>
    </row>
    <row r="815">
      <c r="A815" s="23"/>
      <c r="B815" s="14"/>
    </row>
    <row r="816">
      <c r="A816" s="23"/>
      <c r="B816" s="14"/>
    </row>
    <row r="817">
      <c r="A817" s="23"/>
      <c r="B817" s="14"/>
    </row>
    <row r="818">
      <c r="A818" s="23"/>
      <c r="B818" s="14"/>
    </row>
    <row r="819">
      <c r="A819" s="23"/>
      <c r="B819" s="14"/>
    </row>
    <row r="820">
      <c r="A820" s="23"/>
      <c r="B820" s="14"/>
    </row>
    <row r="821">
      <c r="A821" s="23"/>
      <c r="B821" s="14"/>
    </row>
    <row r="822">
      <c r="A822" s="23"/>
      <c r="B822" s="14"/>
    </row>
    <row r="823">
      <c r="A823" s="23"/>
      <c r="B823" s="14"/>
    </row>
    <row r="824">
      <c r="A824" s="23"/>
      <c r="B824" s="14"/>
    </row>
    <row r="825">
      <c r="A825" s="23"/>
      <c r="B825" s="14"/>
    </row>
    <row r="826">
      <c r="A826" s="23"/>
      <c r="B826" s="14"/>
    </row>
    <row r="827">
      <c r="A827" s="23"/>
      <c r="B827" s="14"/>
    </row>
    <row r="828">
      <c r="A828" s="23"/>
      <c r="B828" s="14"/>
    </row>
    <row r="829">
      <c r="A829" s="23"/>
      <c r="B829" s="14"/>
    </row>
    <row r="830">
      <c r="A830" s="23"/>
      <c r="B830" s="14"/>
    </row>
    <row r="831">
      <c r="A831" s="23"/>
      <c r="B831" s="14"/>
    </row>
    <row r="832">
      <c r="A832" s="23"/>
      <c r="B832" s="14"/>
    </row>
    <row r="833">
      <c r="A833" s="23"/>
      <c r="B833" s="14"/>
    </row>
    <row r="834">
      <c r="A834" s="23"/>
      <c r="B834" s="14"/>
    </row>
    <row r="835">
      <c r="A835" s="23"/>
      <c r="B835" s="14"/>
    </row>
    <row r="836">
      <c r="A836" s="23"/>
      <c r="B836" s="14"/>
    </row>
    <row r="837">
      <c r="A837" s="23"/>
      <c r="B837" s="14"/>
    </row>
    <row r="838">
      <c r="A838" s="23"/>
      <c r="B838" s="14"/>
    </row>
    <row r="839">
      <c r="A839" s="23"/>
      <c r="B839" s="14"/>
    </row>
    <row r="840">
      <c r="A840" s="23"/>
      <c r="B840" s="14"/>
    </row>
    <row r="841">
      <c r="A841" s="23"/>
      <c r="B841" s="14"/>
    </row>
    <row r="842">
      <c r="A842" s="23"/>
      <c r="B842" s="14"/>
    </row>
    <row r="843">
      <c r="A843" s="23"/>
      <c r="B843" s="14"/>
    </row>
    <row r="844">
      <c r="A844" s="23"/>
      <c r="B844" s="14"/>
    </row>
    <row r="845">
      <c r="A845" s="23"/>
      <c r="B845" s="14"/>
    </row>
    <row r="846">
      <c r="A846" s="23"/>
      <c r="B846" s="14"/>
    </row>
    <row r="847">
      <c r="A847" s="23"/>
      <c r="B847" s="14"/>
    </row>
    <row r="848">
      <c r="A848" s="23"/>
      <c r="B848" s="14"/>
    </row>
    <row r="849">
      <c r="A849" s="23"/>
      <c r="B849" s="14"/>
    </row>
    <row r="850">
      <c r="A850" s="23"/>
      <c r="B850" s="14"/>
    </row>
    <row r="851">
      <c r="A851" s="23"/>
      <c r="B851" s="14"/>
    </row>
    <row r="852">
      <c r="A852" s="23"/>
      <c r="B852" s="14"/>
    </row>
    <row r="853">
      <c r="A853" s="23"/>
      <c r="B853" s="14"/>
    </row>
    <row r="854">
      <c r="A854" s="23"/>
      <c r="B854" s="14"/>
    </row>
    <row r="855">
      <c r="A855" s="23"/>
      <c r="B855" s="14"/>
    </row>
    <row r="856">
      <c r="A856" s="23"/>
      <c r="B856" s="14"/>
    </row>
    <row r="857">
      <c r="A857" s="23"/>
      <c r="B857" s="14"/>
    </row>
    <row r="858">
      <c r="A858" s="23"/>
      <c r="B858" s="14"/>
    </row>
    <row r="859">
      <c r="A859" s="23"/>
      <c r="B859" s="14"/>
    </row>
    <row r="860">
      <c r="A860" s="23"/>
      <c r="B860" s="14"/>
    </row>
    <row r="861">
      <c r="A861" s="23"/>
      <c r="B861" s="14"/>
    </row>
    <row r="862">
      <c r="A862" s="23"/>
      <c r="B862" s="14"/>
    </row>
    <row r="863">
      <c r="A863" s="23"/>
      <c r="B863" s="14"/>
    </row>
    <row r="864">
      <c r="A864" s="23"/>
      <c r="B864" s="14"/>
    </row>
    <row r="865">
      <c r="A865" s="23"/>
      <c r="B865" s="14"/>
    </row>
    <row r="866">
      <c r="A866" s="23"/>
      <c r="B866" s="14"/>
    </row>
    <row r="867">
      <c r="A867" s="23"/>
      <c r="B867" s="14"/>
    </row>
    <row r="868">
      <c r="A868" s="23"/>
      <c r="B868" s="14"/>
    </row>
    <row r="869">
      <c r="A869" s="23"/>
      <c r="B869" s="14"/>
    </row>
    <row r="870">
      <c r="A870" s="23"/>
      <c r="B870" s="14"/>
    </row>
    <row r="871">
      <c r="A871" s="23"/>
      <c r="B871" s="14"/>
    </row>
    <row r="872">
      <c r="A872" s="23"/>
      <c r="B872" s="14"/>
    </row>
    <row r="873">
      <c r="A873" s="23"/>
      <c r="B873" s="14"/>
    </row>
    <row r="874">
      <c r="A874" s="23"/>
      <c r="B874" s="14"/>
    </row>
    <row r="875">
      <c r="A875" s="23"/>
      <c r="B875" s="14"/>
    </row>
    <row r="876">
      <c r="A876" s="23"/>
      <c r="B876" s="14"/>
    </row>
    <row r="877">
      <c r="A877" s="23"/>
      <c r="B877" s="14"/>
    </row>
    <row r="878">
      <c r="A878" s="23"/>
      <c r="B878" s="14"/>
    </row>
    <row r="879">
      <c r="A879" s="23"/>
      <c r="B879" s="14"/>
    </row>
    <row r="880">
      <c r="A880" s="23"/>
      <c r="B880" s="14"/>
    </row>
    <row r="881">
      <c r="A881" s="23"/>
      <c r="B881" s="14"/>
    </row>
    <row r="882">
      <c r="A882" s="23"/>
      <c r="B882" s="14"/>
    </row>
    <row r="883">
      <c r="A883" s="23"/>
      <c r="B883" s="14"/>
    </row>
    <row r="884">
      <c r="A884" s="23"/>
      <c r="B884" s="14"/>
    </row>
    <row r="885">
      <c r="A885" s="23"/>
      <c r="B885" s="14"/>
    </row>
    <row r="886">
      <c r="A886" s="23"/>
      <c r="B886" s="14"/>
    </row>
    <row r="887">
      <c r="A887" s="23"/>
      <c r="B887" s="14"/>
    </row>
    <row r="888">
      <c r="A888" s="23"/>
      <c r="B888" s="14"/>
    </row>
    <row r="889">
      <c r="A889" s="23"/>
      <c r="B889" s="14"/>
    </row>
    <row r="890">
      <c r="A890" s="23"/>
      <c r="B890" s="14"/>
    </row>
    <row r="891">
      <c r="A891" s="23"/>
      <c r="B891" s="14"/>
    </row>
    <row r="892">
      <c r="A892" s="23"/>
      <c r="B892" s="14"/>
    </row>
    <row r="893">
      <c r="A893" s="23"/>
      <c r="B893" s="14"/>
    </row>
    <row r="894">
      <c r="A894" s="23"/>
      <c r="B894" s="14"/>
    </row>
    <row r="895">
      <c r="A895" s="23"/>
      <c r="B895" s="14"/>
    </row>
    <row r="896">
      <c r="A896" s="23"/>
      <c r="B896" s="14"/>
    </row>
    <row r="897">
      <c r="A897" s="23"/>
      <c r="B897" s="14"/>
    </row>
    <row r="898">
      <c r="A898" s="23"/>
      <c r="B898" s="14"/>
    </row>
    <row r="899">
      <c r="A899" s="23"/>
      <c r="B899" s="14"/>
    </row>
    <row r="900">
      <c r="A900" s="23"/>
      <c r="B900" s="14"/>
    </row>
    <row r="901">
      <c r="A901" s="23"/>
      <c r="B901" s="14"/>
    </row>
    <row r="902">
      <c r="A902" s="23"/>
      <c r="B902" s="14"/>
    </row>
    <row r="903">
      <c r="A903" s="23"/>
      <c r="B903" s="14"/>
    </row>
    <row r="904">
      <c r="A904" s="23"/>
      <c r="B904" s="14"/>
    </row>
    <row r="905">
      <c r="A905" s="23"/>
      <c r="B905" s="14"/>
    </row>
    <row r="906">
      <c r="A906" s="23"/>
      <c r="B906" s="14"/>
    </row>
    <row r="907">
      <c r="A907" s="23"/>
      <c r="B907" s="14"/>
    </row>
    <row r="908">
      <c r="A908" s="23"/>
      <c r="B908" s="14"/>
    </row>
    <row r="909">
      <c r="A909" s="23"/>
      <c r="B909" s="14"/>
    </row>
    <row r="910">
      <c r="A910" s="23"/>
      <c r="B910" s="14"/>
    </row>
    <row r="911">
      <c r="A911" s="23"/>
      <c r="B911" s="14"/>
    </row>
    <row r="912">
      <c r="A912" s="23"/>
      <c r="B912" s="14"/>
    </row>
    <row r="913">
      <c r="A913" s="23"/>
      <c r="B913" s="14"/>
    </row>
    <row r="914">
      <c r="A914" s="23"/>
      <c r="B914" s="14"/>
    </row>
    <row r="915">
      <c r="A915" s="23"/>
      <c r="B915" s="14"/>
    </row>
    <row r="916">
      <c r="A916" s="23"/>
      <c r="B916" s="14"/>
    </row>
    <row r="917">
      <c r="A917" s="23"/>
      <c r="B917" s="14"/>
    </row>
    <row r="918">
      <c r="A918" s="23"/>
      <c r="B918" s="14"/>
    </row>
    <row r="919">
      <c r="A919" s="23"/>
      <c r="B919" s="14"/>
    </row>
    <row r="920">
      <c r="A920" s="23"/>
      <c r="B920" s="14"/>
    </row>
    <row r="921">
      <c r="A921" s="23"/>
      <c r="B921" s="14"/>
    </row>
    <row r="922">
      <c r="A922" s="23"/>
      <c r="B922" s="14"/>
    </row>
    <row r="923">
      <c r="A923" s="23"/>
      <c r="B923" s="14"/>
    </row>
    <row r="924">
      <c r="A924" s="23"/>
      <c r="B924" s="14"/>
    </row>
    <row r="925">
      <c r="A925" s="23"/>
      <c r="B925" s="14"/>
    </row>
    <row r="926">
      <c r="A926" s="23"/>
      <c r="B926" s="14"/>
    </row>
    <row r="927">
      <c r="A927" s="23"/>
      <c r="B927" s="14"/>
    </row>
    <row r="928">
      <c r="A928" s="23"/>
      <c r="B928" s="14"/>
    </row>
    <row r="929">
      <c r="A929" s="23"/>
      <c r="B929" s="14"/>
    </row>
    <row r="930">
      <c r="A930" s="23"/>
      <c r="B930" s="14"/>
    </row>
    <row r="931">
      <c r="A931" s="23"/>
      <c r="B931" s="14"/>
    </row>
    <row r="932">
      <c r="A932" s="23"/>
      <c r="B932" s="14"/>
    </row>
    <row r="933">
      <c r="A933" s="23"/>
      <c r="B933" s="14"/>
    </row>
    <row r="934">
      <c r="A934" s="23"/>
      <c r="B934" s="14"/>
    </row>
    <row r="935">
      <c r="A935" s="23"/>
      <c r="B935" s="14"/>
    </row>
    <row r="936">
      <c r="A936" s="23"/>
      <c r="B936" s="14"/>
    </row>
    <row r="937">
      <c r="A937" s="23"/>
      <c r="B937" s="14"/>
    </row>
    <row r="938">
      <c r="A938" s="23"/>
      <c r="B938" s="14"/>
    </row>
    <row r="939">
      <c r="A939" s="23"/>
      <c r="B939" s="14"/>
    </row>
    <row r="940">
      <c r="A940" s="23"/>
      <c r="B940" s="14"/>
    </row>
    <row r="941">
      <c r="A941" s="23"/>
      <c r="B941" s="14"/>
    </row>
    <row r="942">
      <c r="A942" s="23"/>
      <c r="B942" s="14"/>
    </row>
    <row r="943">
      <c r="A943" s="23"/>
      <c r="B943" s="14"/>
    </row>
    <row r="944">
      <c r="A944" s="23"/>
      <c r="B944" s="14"/>
    </row>
    <row r="945">
      <c r="A945" s="23"/>
      <c r="B945" s="14"/>
    </row>
    <row r="946">
      <c r="A946" s="23"/>
      <c r="B946" s="14"/>
    </row>
    <row r="947">
      <c r="A947" s="23"/>
      <c r="B947" s="14"/>
    </row>
    <row r="948">
      <c r="A948" s="23"/>
      <c r="B948" s="14"/>
    </row>
    <row r="949">
      <c r="A949" s="23"/>
      <c r="B949" s="14"/>
    </row>
    <row r="950">
      <c r="A950" s="23"/>
      <c r="B950" s="14"/>
    </row>
    <row r="951">
      <c r="A951" s="23"/>
      <c r="B951" s="14"/>
    </row>
    <row r="952">
      <c r="A952" s="23"/>
      <c r="B952" s="14"/>
    </row>
    <row r="953">
      <c r="A953" s="23"/>
      <c r="B953" s="14"/>
    </row>
    <row r="954">
      <c r="A954" s="23"/>
      <c r="B954" s="14"/>
    </row>
    <row r="955">
      <c r="A955" s="23"/>
      <c r="B955" s="14"/>
    </row>
    <row r="956">
      <c r="A956" s="23"/>
      <c r="B956" s="14"/>
    </row>
    <row r="957">
      <c r="A957" s="23"/>
      <c r="B957" s="14"/>
    </row>
    <row r="958">
      <c r="A958" s="23"/>
      <c r="B958" s="14"/>
    </row>
    <row r="959">
      <c r="A959" s="23"/>
      <c r="B959" s="14"/>
    </row>
    <row r="960">
      <c r="A960" s="23"/>
      <c r="B960" s="14"/>
    </row>
    <row r="961">
      <c r="A961" s="23"/>
      <c r="B961" s="14"/>
    </row>
    <row r="962">
      <c r="A962" s="23"/>
      <c r="B962" s="14"/>
    </row>
    <row r="963">
      <c r="A963" s="23"/>
      <c r="B963" s="14"/>
    </row>
    <row r="964">
      <c r="A964" s="23"/>
      <c r="B964" s="14"/>
    </row>
    <row r="965">
      <c r="A965" s="23"/>
      <c r="B965" s="14"/>
    </row>
    <row r="966">
      <c r="A966" s="23"/>
      <c r="B966" s="14"/>
    </row>
    <row r="967">
      <c r="A967" s="23"/>
      <c r="B967" s="14"/>
    </row>
    <row r="968">
      <c r="A968" s="23"/>
      <c r="B968" s="14"/>
    </row>
    <row r="969">
      <c r="A969" s="23"/>
      <c r="B969" s="14"/>
    </row>
    <row r="970">
      <c r="A970" s="23"/>
      <c r="B970" s="14"/>
    </row>
    <row r="971">
      <c r="A971" s="23"/>
      <c r="B971" s="14"/>
    </row>
    <row r="972">
      <c r="A972" s="23"/>
      <c r="B972" s="14"/>
    </row>
    <row r="973">
      <c r="A973" s="23"/>
      <c r="B973" s="14"/>
    </row>
    <row r="974">
      <c r="A974" s="23"/>
      <c r="B974" s="14"/>
    </row>
    <row r="975">
      <c r="A975" s="23"/>
      <c r="B975" s="14"/>
    </row>
    <row r="976">
      <c r="A976" s="23"/>
      <c r="B976" s="14"/>
    </row>
    <row r="977">
      <c r="A977" s="23"/>
      <c r="B977" s="14"/>
    </row>
    <row r="978">
      <c r="A978" s="23"/>
      <c r="B978" s="14"/>
    </row>
    <row r="979">
      <c r="A979" s="23"/>
      <c r="B979" s="14"/>
    </row>
    <row r="980">
      <c r="A980" s="23"/>
      <c r="B980" s="14"/>
    </row>
    <row r="981">
      <c r="A981" s="23"/>
      <c r="B981" s="14"/>
    </row>
    <row r="982">
      <c r="A982" s="23"/>
      <c r="B982" s="14"/>
    </row>
    <row r="983">
      <c r="A983" s="23"/>
      <c r="B983" s="14"/>
    </row>
    <row r="984">
      <c r="A984" s="23"/>
      <c r="B984" s="14"/>
    </row>
    <row r="985">
      <c r="A985" s="23"/>
      <c r="B985" s="14"/>
    </row>
    <row r="986">
      <c r="A986" s="23"/>
      <c r="B986" s="14"/>
    </row>
    <row r="987">
      <c r="A987" s="23"/>
      <c r="B987" s="14"/>
    </row>
    <row r="988">
      <c r="A988" s="23"/>
      <c r="B988" s="14"/>
    </row>
    <row r="989">
      <c r="A989" s="23"/>
      <c r="B989" s="14"/>
    </row>
    <row r="990">
      <c r="A990" s="23"/>
      <c r="B990" s="14"/>
    </row>
    <row r="991">
      <c r="A991" s="23"/>
      <c r="B991" s="14"/>
    </row>
    <row r="992">
      <c r="A992" s="23"/>
      <c r="B992" s="14"/>
    </row>
    <row r="993">
      <c r="A993" s="23"/>
      <c r="B993" s="14"/>
    </row>
    <row r="994">
      <c r="A994" s="23"/>
      <c r="B994" s="14"/>
    </row>
    <row r="995">
      <c r="A995" s="23"/>
      <c r="B995" s="14"/>
    </row>
    <row r="996">
      <c r="A996" s="23"/>
      <c r="B996" s="14"/>
    </row>
    <row r="997">
      <c r="A997" s="23"/>
      <c r="B997" s="14"/>
    </row>
    <row r="998">
      <c r="A998" s="23"/>
      <c r="B998" s="14"/>
    </row>
    <row r="999">
      <c r="A999" s="23"/>
      <c r="B999" s="14"/>
    </row>
    <row r="1000">
      <c r="A1000" s="23"/>
      <c r="B1000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25"/>
    <col customWidth="1" min="2" max="5" width="24.5"/>
    <col customWidth="1" min="6" max="26" width="7.63"/>
  </cols>
  <sheetData>
    <row r="1" ht="31.5" customHeight="1">
      <c r="A1" s="4"/>
      <c r="B1" s="7" t="s">
        <v>7</v>
      </c>
      <c r="C1" s="9" t="s">
        <v>8</v>
      </c>
      <c r="D1" s="11" t="s">
        <v>13</v>
      </c>
      <c r="E1" s="15" t="s">
        <v>18</v>
      </c>
    </row>
    <row r="2" ht="21.75" customHeight="1">
      <c r="A2" s="16" t="s">
        <v>30</v>
      </c>
      <c r="B2" s="17" t="s">
        <v>7</v>
      </c>
      <c r="C2" s="17" t="s">
        <v>8</v>
      </c>
      <c r="D2" s="17" t="s">
        <v>13</v>
      </c>
      <c r="E2" s="17" t="s">
        <v>18</v>
      </c>
    </row>
    <row r="3" ht="21.75" customHeight="1">
      <c r="A3" s="16" t="s">
        <v>35</v>
      </c>
      <c r="B3" s="18" t="s">
        <v>37</v>
      </c>
      <c r="C3" s="18" t="s">
        <v>40</v>
      </c>
      <c r="D3" s="18" t="s">
        <v>41</v>
      </c>
      <c r="E3" s="18" t="s">
        <v>42</v>
      </c>
    </row>
    <row r="4" ht="21.75" customHeight="1">
      <c r="A4" s="16" t="s">
        <v>43</v>
      </c>
      <c r="B4" s="17" t="s">
        <v>44</v>
      </c>
      <c r="C4" s="17" t="s">
        <v>46</v>
      </c>
      <c r="D4" s="17" t="s">
        <v>47</v>
      </c>
      <c r="E4" s="17" t="s">
        <v>48</v>
      </c>
    </row>
    <row r="5" ht="21.75" customHeight="1">
      <c r="A5" s="16" t="s">
        <v>49</v>
      </c>
      <c r="B5" s="18" t="s">
        <v>50</v>
      </c>
      <c r="C5" s="18" t="s">
        <v>51</v>
      </c>
      <c r="D5" s="18" t="s">
        <v>52</v>
      </c>
      <c r="E5" s="18" t="s">
        <v>53</v>
      </c>
    </row>
    <row r="6" ht="21.75" customHeight="1">
      <c r="A6" s="16" t="s">
        <v>54</v>
      </c>
      <c r="B6" s="17" t="s">
        <v>55</v>
      </c>
      <c r="C6" s="17" t="s">
        <v>56</v>
      </c>
      <c r="D6" s="17" t="s">
        <v>57</v>
      </c>
      <c r="E6" s="17" t="s">
        <v>58</v>
      </c>
    </row>
    <row r="7" ht="21.75" customHeight="1">
      <c r="A7" s="16" t="s">
        <v>59</v>
      </c>
      <c r="B7" s="18" t="s">
        <v>60</v>
      </c>
      <c r="C7" s="18" t="s">
        <v>56</v>
      </c>
      <c r="D7" s="18" t="s">
        <v>61</v>
      </c>
      <c r="E7" s="18" t="s">
        <v>62</v>
      </c>
    </row>
    <row r="8" ht="72.0" customHeight="1">
      <c r="A8" s="16" t="s">
        <v>63</v>
      </c>
      <c r="B8" s="17" t="s">
        <v>64</v>
      </c>
      <c r="C8" s="17" t="s">
        <v>65</v>
      </c>
      <c r="D8" s="17" t="s">
        <v>66</v>
      </c>
      <c r="E8" s="17" t="s">
        <v>67</v>
      </c>
    </row>
    <row r="9" ht="72.0" customHeight="1">
      <c r="A9" s="16" t="s">
        <v>68</v>
      </c>
      <c r="B9" s="18" t="s">
        <v>69</v>
      </c>
      <c r="C9" s="18" t="s">
        <v>70</v>
      </c>
      <c r="D9" s="18" t="s">
        <v>71</v>
      </c>
      <c r="E9" s="18" t="s">
        <v>72</v>
      </c>
    </row>
    <row r="10" ht="72.0" customHeight="1">
      <c r="A10" s="16" t="s">
        <v>73</v>
      </c>
      <c r="B10" s="17" t="s">
        <v>74</v>
      </c>
      <c r="C10" s="17" t="s">
        <v>76</v>
      </c>
      <c r="D10" s="17" t="s">
        <v>77</v>
      </c>
      <c r="E10" s="17" t="s">
        <v>78</v>
      </c>
    </row>
    <row r="11" ht="72.0" customHeight="1">
      <c r="A11" s="16" t="s">
        <v>79</v>
      </c>
      <c r="B11" s="18" t="s">
        <v>80</v>
      </c>
      <c r="C11" s="18" t="s">
        <v>81</v>
      </c>
      <c r="D11" s="18" t="s">
        <v>82</v>
      </c>
      <c r="E11" s="18" t="s">
        <v>83</v>
      </c>
    </row>
    <row r="12" ht="72.0" customHeight="1">
      <c r="A12" s="16" t="s">
        <v>84</v>
      </c>
      <c r="B12" s="17" t="s">
        <v>85</v>
      </c>
      <c r="C12" s="17" t="s">
        <v>86</v>
      </c>
      <c r="D12" s="17" t="s">
        <v>87</v>
      </c>
      <c r="E12" s="17" t="s">
        <v>88</v>
      </c>
    </row>
    <row r="13" ht="72.0" customHeight="1">
      <c r="A13" s="16" t="s">
        <v>89</v>
      </c>
      <c r="B13" s="18" t="s">
        <v>90</v>
      </c>
      <c r="C13" s="18" t="s">
        <v>91</v>
      </c>
      <c r="D13" s="18" t="s">
        <v>92</v>
      </c>
      <c r="E13" s="18" t="s">
        <v>93</v>
      </c>
    </row>
    <row r="14" ht="72.0" customHeight="1">
      <c r="A14" s="16" t="s">
        <v>94</v>
      </c>
      <c r="B14" s="20" t="s">
        <v>96</v>
      </c>
      <c r="C14" s="20" t="s">
        <v>97</v>
      </c>
      <c r="D14" s="20" t="s">
        <v>98</v>
      </c>
      <c r="E14" s="20" t="s">
        <v>99</v>
      </c>
    </row>
    <row r="15">
      <c r="A15" s="21" t="s">
        <v>100</v>
      </c>
      <c r="B15" s="22" t="s">
        <v>101</v>
      </c>
      <c r="C15" s="22" t="s">
        <v>102</v>
      </c>
      <c r="D15" s="22" t="s">
        <v>103</v>
      </c>
      <c r="E15" s="22" t="s">
        <v>104</v>
      </c>
    </row>
    <row r="16" ht="72.0" customHeight="1">
      <c r="A16" s="21" t="s">
        <v>105</v>
      </c>
      <c r="B16" s="17" t="s">
        <v>106</v>
      </c>
      <c r="C16" s="17" t="s">
        <v>107</v>
      </c>
      <c r="D16" s="17" t="s">
        <v>108</v>
      </c>
      <c r="E16" s="17" t="s">
        <v>109</v>
      </c>
    </row>
    <row r="17" ht="72.0" customHeight="1">
      <c r="A17" s="16" t="s">
        <v>110</v>
      </c>
      <c r="B17" s="18" t="s">
        <v>111</v>
      </c>
      <c r="C17" s="18" t="s">
        <v>112</v>
      </c>
      <c r="D17" s="18" t="s">
        <v>113</v>
      </c>
      <c r="E17" s="18" t="s">
        <v>114</v>
      </c>
    </row>
    <row r="18" ht="72.0" customHeight="1">
      <c r="A18" s="21" t="s">
        <v>115</v>
      </c>
      <c r="B18" s="20" t="s">
        <v>116</v>
      </c>
      <c r="C18" s="20" t="s">
        <v>117</v>
      </c>
      <c r="D18" s="20" t="s">
        <v>118</v>
      </c>
      <c r="E18" s="20" t="s">
        <v>119</v>
      </c>
    </row>
    <row r="19" ht="72.0" customHeight="1">
      <c r="A19" s="21" t="s">
        <v>120</v>
      </c>
      <c r="B19" s="18" t="s">
        <v>121</v>
      </c>
      <c r="C19" s="18" t="s">
        <v>122</v>
      </c>
      <c r="D19" s="18" t="s">
        <v>122</v>
      </c>
      <c r="E19" s="18" t="s">
        <v>122</v>
      </c>
    </row>
    <row r="20" ht="72.0" customHeight="1">
      <c r="A20" s="16" t="s">
        <v>123</v>
      </c>
      <c r="B20" s="24" t="s">
        <v>124</v>
      </c>
      <c r="C20" s="24" t="s">
        <v>125</v>
      </c>
      <c r="D20" s="24" t="s">
        <v>126</v>
      </c>
      <c r="E20" s="24" t="s">
        <v>127</v>
      </c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8.75"/>
    <col customWidth="1" min="3" max="3" width="34.88"/>
  </cols>
  <sheetData>
    <row r="1">
      <c r="A1" s="2" t="s">
        <v>1</v>
      </c>
      <c r="B1" s="2" t="s">
        <v>3</v>
      </c>
      <c r="C1" s="2" t="s">
        <v>5</v>
      </c>
    </row>
    <row r="2">
      <c r="A2" s="6" t="s">
        <v>6</v>
      </c>
      <c r="B2" s="8">
        <v>3.0</v>
      </c>
      <c r="C2" s="6"/>
    </row>
    <row r="3">
      <c r="A3" s="6" t="s">
        <v>9</v>
      </c>
      <c r="B3" s="8">
        <v>6.0</v>
      </c>
      <c r="C3" s="6"/>
    </row>
    <row r="4">
      <c r="A4" s="6" t="s">
        <v>10</v>
      </c>
      <c r="B4" s="8">
        <v>5.0</v>
      </c>
      <c r="C4" s="6" t="s">
        <v>11</v>
      </c>
    </row>
    <row r="5">
      <c r="A5" s="6" t="s">
        <v>12</v>
      </c>
      <c r="B5" s="8">
        <v>4.0</v>
      </c>
      <c r="C5" s="6"/>
    </row>
    <row r="6">
      <c r="A6" s="6" t="s">
        <v>15</v>
      </c>
      <c r="B6" s="8">
        <v>8.0</v>
      </c>
      <c r="C6" s="6"/>
    </row>
    <row r="7">
      <c r="A7" s="6" t="s">
        <v>17</v>
      </c>
      <c r="B7" s="8">
        <v>3.0</v>
      </c>
      <c r="C7" s="6"/>
    </row>
    <row r="8">
      <c r="A8" s="6" t="s">
        <v>19</v>
      </c>
      <c r="B8" s="8" t="s">
        <v>20</v>
      </c>
      <c r="C8" s="6" t="s">
        <v>21</v>
      </c>
    </row>
    <row r="9">
      <c r="A9" s="6" t="s">
        <v>22</v>
      </c>
      <c r="B9" s="8">
        <v>2.0</v>
      </c>
      <c r="C9" s="6"/>
    </row>
    <row r="10">
      <c r="A10" s="6" t="s">
        <v>23</v>
      </c>
      <c r="B10" s="8">
        <v>5.0</v>
      </c>
      <c r="C10" s="6"/>
    </row>
    <row r="11">
      <c r="A11" s="6" t="s">
        <v>24</v>
      </c>
      <c r="B11" s="8" t="s">
        <v>26</v>
      </c>
      <c r="C11" s="6"/>
    </row>
    <row r="12">
      <c r="A12" s="6" t="s">
        <v>27</v>
      </c>
      <c r="B12" s="8" t="s">
        <v>28</v>
      </c>
      <c r="C12" s="6"/>
    </row>
    <row r="13">
      <c r="A13" s="6"/>
      <c r="B13" s="8"/>
      <c r="C13" s="6"/>
    </row>
    <row r="14">
      <c r="A14" s="6"/>
      <c r="B14" s="8"/>
      <c r="C14" s="6"/>
    </row>
    <row r="15">
      <c r="A15" s="6"/>
      <c r="B15" s="8"/>
      <c r="C15" s="6"/>
    </row>
    <row r="16">
      <c r="A16" s="6"/>
      <c r="B16" s="8"/>
      <c r="C16" s="6"/>
    </row>
    <row r="17">
      <c r="A17" s="6"/>
      <c r="B17" s="8"/>
      <c r="C17" s="6"/>
    </row>
    <row r="18">
      <c r="A18" s="6"/>
      <c r="B18" s="8"/>
      <c r="C18" s="6"/>
    </row>
    <row r="19">
      <c r="A19" s="6"/>
      <c r="B19" s="8"/>
      <c r="C19" s="6"/>
    </row>
    <row r="20">
      <c r="A20" s="6"/>
      <c r="B20" s="8"/>
      <c r="C20" s="6"/>
    </row>
    <row r="21">
      <c r="A21" s="6"/>
      <c r="B21" s="8"/>
      <c r="C21" s="6"/>
    </row>
    <row r="22">
      <c r="A22" s="6"/>
      <c r="B22" s="8"/>
      <c r="C22" s="6"/>
    </row>
    <row r="23">
      <c r="A23" s="6"/>
      <c r="B23" s="8"/>
      <c r="C23" s="6"/>
    </row>
    <row r="24">
      <c r="A24" s="6"/>
      <c r="B24" s="8"/>
      <c r="C24" s="6"/>
    </row>
    <row r="25">
      <c r="A25" s="6"/>
      <c r="B25" s="8"/>
      <c r="C25" s="6"/>
    </row>
    <row r="26">
      <c r="A26" s="6"/>
      <c r="B26" s="8"/>
      <c r="C26" s="6"/>
    </row>
    <row r="27">
      <c r="A27" s="6"/>
      <c r="B27" s="8"/>
      <c r="C27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</cols>
  <sheetData>
    <row r="1">
      <c r="A1" s="13" t="s">
        <v>14</v>
      </c>
      <c r="B1" s="13" t="s">
        <v>25</v>
      </c>
      <c r="C1" s="13" t="s">
        <v>29</v>
      </c>
      <c r="D1" s="13" t="s">
        <v>31</v>
      </c>
      <c r="E1" s="13" t="s">
        <v>32</v>
      </c>
      <c r="F1" s="13" t="s">
        <v>33</v>
      </c>
      <c r="G1" s="13" t="s">
        <v>34</v>
      </c>
      <c r="H1" s="13" t="s">
        <v>36</v>
      </c>
      <c r="I1" s="13" t="s">
        <v>38</v>
      </c>
      <c r="J1" s="13" t="s">
        <v>39</v>
      </c>
    </row>
    <row r="2">
      <c r="A2" s="19" t="s">
        <v>45</v>
      </c>
      <c r="B2" s="19" t="s">
        <v>75</v>
      </c>
      <c r="C2" s="19" t="s">
        <v>95</v>
      </c>
      <c r="D2" s="19"/>
      <c r="E2" s="19" t="s">
        <v>95</v>
      </c>
      <c r="F2" s="19"/>
      <c r="G2" s="25" t="s">
        <v>128</v>
      </c>
      <c r="H2" s="25" t="s">
        <v>129</v>
      </c>
      <c r="I2" s="26"/>
      <c r="J2" s="19" t="b">
        <v>1</v>
      </c>
    </row>
    <row r="3">
      <c r="A3" s="27" t="s">
        <v>130</v>
      </c>
      <c r="B3" s="27" t="s">
        <v>131</v>
      </c>
      <c r="C3" s="27" t="s">
        <v>95</v>
      </c>
      <c r="D3" s="27"/>
      <c r="E3" s="27" t="s">
        <v>95</v>
      </c>
      <c r="F3" s="28"/>
      <c r="G3" s="29"/>
      <c r="H3" s="29"/>
      <c r="I3" s="28"/>
      <c r="J3" s="27" t="b">
        <v>1</v>
      </c>
    </row>
    <row r="4">
      <c r="A4" s="19" t="s">
        <v>132</v>
      </c>
      <c r="B4" s="19" t="s">
        <v>133</v>
      </c>
      <c r="C4" s="19" t="s">
        <v>95</v>
      </c>
      <c r="D4" s="19"/>
      <c r="E4" s="19" t="s">
        <v>95</v>
      </c>
      <c r="F4" s="19"/>
      <c r="G4" s="25" t="s">
        <v>128</v>
      </c>
      <c r="H4" s="25" t="s">
        <v>129</v>
      </c>
      <c r="I4" s="26"/>
      <c r="J4" s="19" t="b">
        <v>1</v>
      </c>
    </row>
    <row r="5">
      <c r="A5" s="27" t="s">
        <v>134</v>
      </c>
      <c r="B5" s="27" t="s">
        <v>135</v>
      </c>
      <c r="C5" s="27" t="s">
        <v>95</v>
      </c>
      <c r="D5" s="27"/>
      <c r="E5" s="27" t="s">
        <v>95</v>
      </c>
      <c r="F5" s="27"/>
      <c r="G5" s="30" t="s">
        <v>128</v>
      </c>
      <c r="H5" s="30" t="s">
        <v>129</v>
      </c>
      <c r="I5" s="28"/>
      <c r="J5" s="27" t="b">
        <v>1</v>
      </c>
    </row>
    <row r="6">
      <c r="A6" s="19" t="s">
        <v>136</v>
      </c>
      <c r="B6" s="19" t="s">
        <v>137</v>
      </c>
      <c r="C6" s="19" t="s">
        <v>95</v>
      </c>
      <c r="D6" s="19"/>
      <c r="E6" s="19" t="s">
        <v>95</v>
      </c>
      <c r="F6" s="19"/>
      <c r="G6" s="25" t="s">
        <v>128</v>
      </c>
      <c r="H6" s="25" t="s">
        <v>129</v>
      </c>
      <c r="I6" s="26"/>
      <c r="J6" s="19" t="b">
        <v>1</v>
      </c>
    </row>
    <row r="7">
      <c r="A7" s="27" t="s">
        <v>138</v>
      </c>
      <c r="B7" s="27" t="s">
        <v>139</v>
      </c>
      <c r="C7" s="27" t="s">
        <v>95</v>
      </c>
      <c r="D7" s="27"/>
      <c r="E7" s="27" t="s">
        <v>95</v>
      </c>
      <c r="F7" s="27"/>
      <c r="G7" s="30" t="s">
        <v>128</v>
      </c>
      <c r="H7" s="30" t="s">
        <v>129</v>
      </c>
      <c r="I7" s="28"/>
      <c r="J7" s="27" t="b">
        <v>1</v>
      </c>
    </row>
    <row r="8">
      <c r="A8" s="19" t="s">
        <v>140</v>
      </c>
      <c r="B8" s="19" t="s">
        <v>75</v>
      </c>
      <c r="C8" s="19" t="s">
        <v>141</v>
      </c>
      <c r="D8" s="19"/>
      <c r="E8" s="19" t="s">
        <v>142</v>
      </c>
      <c r="F8" s="19"/>
      <c r="G8" s="19" t="s">
        <v>128</v>
      </c>
      <c r="H8" s="19"/>
      <c r="I8" s="26"/>
      <c r="J8" s="19" t="b">
        <v>1</v>
      </c>
    </row>
    <row r="9">
      <c r="A9" s="27" t="s">
        <v>145</v>
      </c>
      <c r="B9" s="27" t="s">
        <v>75</v>
      </c>
      <c r="C9" s="27" t="s">
        <v>141</v>
      </c>
      <c r="D9" s="27"/>
      <c r="E9" s="27" t="s">
        <v>129</v>
      </c>
      <c r="F9" s="28"/>
      <c r="G9" s="27" t="s">
        <v>128</v>
      </c>
      <c r="H9" s="28"/>
      <c r="I9" s="28"/>
      <c r="J9" s="27" t="b">
        <v>1</v>
      </c>
    </row>
    <row r="10">
      <c r="A10" s="19" t="s">
        <v>151</v>
      </c>
      <c r="B10" s="19" t="s">
        <v>133</v>
      </c>
      <c r="C10" s="19" t="s">
        <v>141</v>
      </c>
      <c r="D10" s="19"/>
      <c r="E10" s="19" t="s">
        <v>56</v>
      </c>
      <c r="F10" s="33"/>
      <c r="G10" s="19" t="s">
        <v>128</v>
      </c>
      <c r="H10" s="26"/>
      <c r="I10" s="26"/>
      <c r="J10" s="19" t="b">
        <v>1</v>
      </c>
    </row>
    <row r="11">
      <c r="A11" s="27" t="s">
        <v>158</v>
      </c>
      <c r="B11" s="27" t="s">
        <v>133</v>
      </c>
      <c r="C11" s="27" t="s">
        <v>141</v>
      </c>
      <c r="D11" s="27"/>
      <c r="E11" s="27" t="s">
        <v>56</v>
      </c>
      <c r="F11" s="27"/>
      <c r="G11" s="27" t="s">
        <v>128</v>
      </c>
      <c r="H11" s="27"/>
      <c r="I11" s="28"/>
      <c r="J11" s="27" t="b">
        <v>1</v>
      </c>
    </row>
    <row r="12">
      <c r="A12" s="19" t="s">
        <v>163</v>
      </c>
      <c r="B12" s="19" t="s">
        <v>135</v>
      </c>
      <c r="C12" s="19" t="s">
        <v>141</v>
      </c>
      <c r="D12" s="19"/>
      <c r="E12" s="19" t="s">
        <v>57</v>
      </c>
      <c r="F12" s="33"/>
      <c r="G12" s="19" t="s">
        <v>128</v>
      </c>
      <c r="H12" s="26"/>
      <c r="I12" s="26"/>
      <c r="J12" s="19" t="b">
        <v>1</v>
      </c>
    </row>
    <row r="13">
      <c r="A13" s="27" t="s">
        <v>175</v>
      </c>
      <c r="B13" s="27" t="s">
        <v>135</v>
      </c>
      <c r="C13" s="27" t="s">
        <v>141</v>
      </c>
      <c r="D13" s="27"/>
      <c r="E13" s="27" t="s">
        <v>58</v>
      </c>
      <c r="F13" s="36"/>
      <c r="G13" s="27" t="s">
        <v>128</v>
      </c>
      <c r="H13" s="28"/>
      <c r="I13" s="28"/>
      <c r="J13" s="27" t="b">
        <v>1</v>
      </c>
    </row>
    <row r="14">
      <c r="A14" s="19" t="s">
        <v>178</v>
      </c>
      <c r="B14" s="19" t="s">
        <v>137</v>
      </c>
      <c r="C14" s="19" t="s">
        <v>141</v>
      </c>
      <c r="D14" s="19"/>
      <c r="E14" s="19" t="s">
        <v>55</v>
      </c>
      <c r="F14" s="33"/>
      <c r="G14" s="19" t="s">
        <v>128</v>
      </c>
      <c r="H14" s="26"/>
      <c r="I14" s="26"/>
      <c r="J14" s="19" t="b">
        <v>1</v>
      </c>
    </row>
    <row r="15">
      <c r="A15" s="27" t="s">
        <v>180</v>
      </c>
      <c r="B15" s="27" t="s">
        <v>137</v>
      </c>
      <c r="C15" s="27" t="s">
        <v>141</v>
      </c>
      <c r="D15" s="27"/>
      <c r="E15" s="27" t="s">
        <v>56</v>
      </c>
      <c r="F15" s="36"/>
      <c r="G15" s="27" t="s">
        <v>128</v>
      </c>
      <c r="H15" s="28"/>
      <c r="I15" s="28"/>
      <c r="J15" s="27" t="b">
        <v>1</v>
      </c>
    </row>
    <row r="16">
      <c r="A16" s="19" t="s">
        <v>181</v>
      </c>
      <c r="B16" s="19" t="s">
        <v>139</v>
      </c>
      <c r="C16" s="19" t="s">
        <v>141</v>
      </c>
      <c r="D16" s="19"/>
      <c r="E16" s="19" t="s">
        <v>56</v>
      </c>
      <c r="F16" s="19"/>
      <c r="G16" s="19" t="s">
        <v>128</v>
      </c>
      <c r="H16" s="19"/>
      <c r="I16" s="26"/>
      <c r="J16" s="19" t="b">
        <v>1</v>
      </c>
    </row>
    <row r="17">
      <c r="A17" s="27" t="s">
        <v>182</v>
      </c>
      <c r="B17" s="27" t="s">
        <v>131</v>
      </c>
      <c r="C17" s="27" t="s">
        <v>183</v>
      </c>
      <c r="D17" s="27"/>
      <c r="E17" s="27" t="s">
        <v>128</v>
      </c>
      <c r="F17" s="28"/>
      <c r="G17" s="28"/>
      <c r="H17" s="28"/>
      <c r="I17" s="27" t="s">
        <v>184</v>
      </c>
      <c r="J17" s="27" t="b">
        <v>1</v>
      </c>
    </row>
    <row r="18">
      <c r="A18" s="19" t="s">
        <v>185</v>
      </c>
      <c r="B18" s="19" t="s">
        <v>75</v>
      </c>
      <c r="C18" s="19" t="s">
        <v>186</v>
      </c>
      <c r="D18" s="19"/>
      <c r="E18" s="19"/>
      <c r="F18" s="26"/>
      <c r="G18" s="19" t="s">
        <v>128</v>
      </c>
      <c r="H18" s="26"/>
      <c r="I18" s="19" t="s">
        <v>187</v>
      </c>
      <c r="J18" s="19" t="b">
        <v>1</v>
      </c>
    </row>
    <row r="19">
      <c r="A19" s="27" t="s">
        <v>188</v>
      </c>
      <c r="B19" s="27" t="s">
        <v>75</v>
      </c>
      <c r="C19" s="27" t="s">
        <v>186</v>
      </c>
      <c r="D19" s="27"/>
      <c r="E19" s="27" t="s">
        <v>129</v>
      </c>
      <c r="F19" s="27"/>
      <c r="G19" s="27" t="s">
        <v>128</v>
      </c>
      <c r="H19" s="28"/>
      <c r="I19" s="27" t="s">
        <v>184</v>
      </c>
      <c r="J19" s="27" t="b">
        <v>1</v>
      </c>
    </row>
    <row r="20">
      <c r="A20" s="19" t="s">
        <v>189</v>
      </c>
      <c r="B20" s="19" t="s">
        <v>133</v>
      </c>
      <c r="C20" s="19" t="s">
        <v>186</v>
      </c>
      <c r="D20" s="19"/>
      <c r="E20" s="19" t="s">
        <v>142</v>
      </c>
      <c r="F20" s="19"/>
      <c r="G20" s="19" t="s">
        <v>128</v>
      </c>
      <c r="H20" s="19"/>
      <c r="I20" s="19" t="s">
        <v>187</v>
      </c>
      <c r="J20" s="19" t="b">
        <v>1</v>
      </c>
    </row>
    <row r="21">
      <c r="A21" s="27" t="s">
        <v>190</v>
      </c>
      <c r="B21" s="27" t="s">
        <v>133</v>
      </c>
      <c r="C21" s="27" t="s">
        <v>186</v>
      </c>
      <c r="D21" s="27"/>
      <c r="E21" s="27" t="s">
        <v>55</v>
      </c>
      <c r="F21" s="27"/>
      <c r="G21" s="27" t="s">
        <v>128</v>
      </c>
      <c r="H21" s="28"/>
      <c r="I21" s="27" t="s">
        <v>184</v>
      </c>
      <c r="J21" s="27" t="b">
        <v>1</v>
      </c>
    </row>
    <row r="22">
      <c r="A22" s="19" t="s">
        <v>191</v>
      </c>
      <c r="B22" s="19" t="s">
        <v>133</v>
      </c>
      <c r="C22" s="19" t="s">
        <v>186</v>
      </c>
      <c r="D22" s="19"/>
      <c r="E22" s="19" t="s">
        <v>55</v>
      </c>
      <c r="F22" s="19"/>
      <c r="G22" s="19" t="s">
        <v>128</v>
      </c>
      <c r="H22" s="26"/>
      <c r="I22" s="19" t="s">
        <v>184</v>
      </c>
      <c r="J22" s="19" t="b">
        <v>1</v>
      </c>
    </row>
    <row r="23">
      <c r="A23" s="27" t="s">
        <v>192</v>
      </c>
      <c r="B23" s="27" t="s">
        <v>135</v>
      </c>
      <c r="C23" s="27" t="s">
        <v>186</v>
      </c>
      <c r="D23" s="27"/>
      <c r="E23" s="27" t="s">
        <v>58</v>
      </c>
      <c r="F23" s="27"/>
      <c r="G23" s="27" t="s">
        <v>128</v>
      </c>
      <c r="H23" s="28"/>
      <c r="I23" s="27" t="s">
        <v>184</v>
      </c>
      <c r="J23" s="27" t="b">
        <v>1</v>
      </c>
    </row>
    <row r="24">
      <c r="A24" s="19" t="s">
        <v>194</v>
      </c>
      <c r="B24" s="19" t="s">
        <v>135</v>
      </c>
      <c r="C24" s="19" t="s">
        <v>186</v>
      </c>
      <c r="D24" s="19"/>
      <c r="E24" s="19" t="s">
        <v>129</v>
      </c>
      <c r="F24" s="19"/>
      <c r="G24" s="19" t="s">
        <v>128</v>
      </c>
      <c r="H24" s="26"/>
      <c r="I24" s="19" t="s">
        <v>184</v>
      </c>
      <c r="J24" s="19" t="b">
        <v>1</v>
      </c>
    </row>
    <row r="25">
      <c r="A25" s="27" t="s">
        <v>195</v>
      </c>
      <c r="B25" s="27" t="s">
        <v>135</v>
      </c>
      <c r="C25" s="27" t="s">
        <v>186</v>
      </c>
      <c r="D25" s="27"/>
      <c r="E25" s="27" t="s">
        <v>196</v>
      </c>
      <c r="F25" s="27"/>
      <c r="G25" s="27" t="s">
        <v>128</v>
      </c>
      <c r="H25" s="28"/>
      <c r="I25" s="27" t="s">
        <v>187</v>
      </c>
      <c r="J25" s="27" t="b">
        <v>1</v>
      </c>
    </row>
    <row r="26">
      <c r="A26" s="19" t="s">
        <v>197</v>
      </c>
      <c r="B26" s="19" t="s">
        <v>137</v>
      </c>
      <c r="C26" s="19" t="s">
        <v>186</v>
      </c>
      <c r="D26" s="19"/>
      <c r="E26" s="19" t="s">
        <v>129</v>
      </c>
      <c r="F26" s="19"/>
      <c r="G26" s="19" t="s">
        <v>128</v>
      </c>
      <c r="H26" s="19"/>
      <c r="I26" s="19" t="s">
        <v>187</v>
      </c>
      <c r="J26" s="19" t="b">
        <v>1</v>
      </c>
    </row>
    <row r="27">
      <c r="A27" s="27" t="s">
        <v>198</v>
      </c>
      <c r="B27" s="27" t="s">
        <v>137</v>
      </c>
      <c r="C27" s="27" t="s">
        <v>186</v>
      </c>
      <c r="D27" s="27"/>
      <c r="E27" s="27" t="s">
        <v>55</v>
      </c>
      <c r="F27" s="27"/>
      <c r="G27" s="27" t="s">
        <v>128</v>
      </c>
      <c r="H27" s="28"/>
      <c r="I27" s="27" t="s">
        <v>184</v>
      </c>
      <c r="J27" s="27" t="b">
        <v>1</v>
      </c>
    </row>
    <row r="28">
      <c r="A28" s="19" t="s">
        <v>199</v>
      </c>
      <c r="B28" s="19" t="s">
        <v>137</v>
      </c>
      <c r="C28" s="19" t="s">
        <v>186</v>
      </c>
      <c r="D28" s="19"/>
      <c r="E28" s="19" t="s">
        <v>56</v>
      </c>
      <c r="F28" s="19"/>
      <c r="G28" s="19" t="s">
        <v>128</v>
      </c>
      <c r="H28" s="26"/>
      <c r="I28" s="19" t="s">
        <v>184</v>
      </c>
      <c r="J28" s="19" t="b">
        <v>1</v>
      </c>
    </row>
    <row r="29">
      <c r="A29" s="27" t="s">
        <v>200</v>
      </c>
      <c r="B29" s="27" t="s">
        <v>139</v>
      </c>
      <c r="C29" s="27" t="s">
        <v>186</v>
      </c>
      <c r="D29" s="27"/>
      <c r="E29" s="27" t="s">
        <v>129</v>
      </c>
      <c r="F29" s="27"/>
      <c r="G29" s="27" t="s">
        <v>128</v>
      </c>
      <c r="H29" s="28"/>
      <c r="I29" s="27" t="s">
        <v>187</v>
      </c>
      <c r="J29" s="27" t="b">
        <v>1</v>
      </c>
    </row>
    <row r="30">
      <c r="A30" s="19" t="s">
        <v>201</v>
      </c>
      <c r="B30" s="19" t="s">
        <v>75</v>
      </c>
      <c r="C30" s="19" t="s">
        <v>202</v>
      </c>
      <c r="D30" s="19" t="s">
        <v>203</v>
      </c>
      <c r="E30" s="19" t="s">
        <v>204</v>
      </c>
      <c r="F30" s="19"/>
      <c r="G30" s="26"/>
      <c r="H30" s="26"/>
      <c r="I30" s="19"/>
      <c r="J30" s="26"/>
    </row>
    <row r="31">
      <c r="A31" s="27" t="s">
        <v>205</v>
      </c>
      <c r="B31" s="27" t="s">
        <v>131</v>
      </c>
      <c r="C31" s="27" t="s">
        <v>202</v>
      </c>
      <c r="D31" s="27" t="s">
        <v>203</v>
      </c>
      <c r="E31" s="27" t="s">
        <v>56</v>
      </c>
      <c r="F31" s="28"/>
      <c r="G31" s="28"/>
      <c r="H31" s="28"/>
      <c r="I31" s="28"/>
      <c r="J31" s="28"/>
    </row>
    <row r="32">
      <c r="A32" s="19" t="s">
        <v>206</v>
      </c>
      <c r="B32" s="19" t="s">
        <v>75</v>
      </c>
      <c r="C32" s="19" t="s">
        <v>202</v>
      </c>
      <c r="D32" s="19" t="s">
        <v>203</v>
      </c>
      <c r="E32" s="19" t="s">
        <v>208</v>
      </c>
      <c r="F32" s="26"/>
      <c r="G32" s="26"/>
      <c r="H32" s="26"/>
      <c r="I32" s="26"/>
      <c r="J32" s="26"/>
    </row>
    <row r="33">
      <c r="A33" s="27" t="s">
        <v>210</v>
      </c>
      <c r="B33" s="27" t="s">
        <v>133</v>
      </c>
      <c r="C33" s="27" t="s">
        <v>202</v>
      </c>
      <c r="D33" s="27" t="s">
        <v>203</v>
      </c>
      <c r="E33" s="27" t="s">
        <v>57</v>
      </c>
      <c r="F33" s="28"/>
      <c r="G33" s="28"/>
      <c r="H33" s="28"/>
      <c r="I33" s="28"/>
      <c r="J33" s="28"/>
    </row>
    <row r="34">
      <c r="A34" s="19" t="s">
        <v>214</v>
      </c>
      <c r="B34" s="19" t="s">
        <v>135</v>
      </c>
      <c r="C34" s="19" t="s">
        <v>202</v>
      </c>
      <c r="D34" s="19" t="s">
        <v>203</v>
      </c>
      <c r="E34" s="19" t="s">
        <v>208</v>
      </c>
      <c r="F34" s="26"/>
      <c r="G34" s="26"/>
      <c r="H34" s="26"/>
      <c r="I34" s="26"/>
      <c r="J34" s="26"/>
    </row>
    <row r="35">
      <c r="A35" s="27" t="s">
        <v>215</v>
      </c>
      <c r="B35" s="27" t="s">
        <v>139</v>
      </c>
      <c r="C35" s="27" t="s">
        <v>202</v>
      </c>
      <c r="D35" s="27" t="s">
        <v>203</v>
      </c>
      <c r="E35" s="27" t="s">
        <v>204</v>
      </c>
      <c r="F35" s="27" t="s">
        <v>129</v>
      </c>
      <c r="G35" s="28"/>
      <c r="H35" s="28"/>
      <c r="I35" s="28"/>
      <c r="J35" s="28"/>
    </row>
    <row r="36">
      <c r="A36" s="19" t="s">
        <v>216</v>
      </c>
      <c r="B36" s="19" t="s">
        <v>75</v>
      </c>
      <c r="C36" s="19" t="s">
        <v>217</v>
      </c>
      <c r="D36" s="19" t="s">
        <v>203</v>
      </c>
      <c r="E36" s="19" t="s">
        <v>218</v>
      </c>
      <c r="F36" s="19"/>
      <c r="G36" s="26"/>
      <c r="H36" s="26"/>
      <c r="I36" s="26"/>
      <c r="J36" s="26"/>
    </row>
    <row r="37">
      <c r="A37" s="27" t="s">
        <v>219</v>
      </c>
      <c r="B37" s="27" t="s">
        <v>133</v>
      </c>
      <c r="C37" s="27" t="s">
        <v>217</v>
      </c>
      <c r="D37" s="27" t="s">
        <v>203</v>
      </c>
      <c r="E37" s="27" t="s">
        <v>204</v>
      </c>
      <c r="F37" s="27" t="s">
        <v>196</v>
      </c>
      <c r="G37" s="28"/>
      <c r="H37" s="28"/>
      <c r="I37" s="28"/>
      <c r="J37" s="28"/>
    </row>
    <row r="38">
      <c r="A38" s="19" t="s">
        <v>220</v>
      </c>
      <c r="B38" s="19" t="s">
        <v>135</v>
      </c>
      <c r="C38" s="19" t="s">
        <v>217</v>
      </c>
      <c r="D38" s="19" t="s">
        <v>203</v>
      </c>
      <c r="E38" s="19" t="s">
        <v>56</v>
      </c>
      <c r="F38" s="19" t="s">
        <v>55</v>
      </c>
      <c r="G38" s="26"/>
      <c r="H38" s="26"/>
      <c r="I38" s="26"/>
      <c r="J38" s="26"/>
    </row>
    <row r="39">
      <c r="A39" s="27" t="s">
        <v>223</v>
      </c>
      <c r="B39" s="27" t="s">
        <v>135</v>
      </c>
      <c r="C39" s="27" t="s">
        <v>224</v>
      </c>
      <c r="D39" s="27" t="s">
        <v>203</v>
      </c>
      <c r="E39" s="27" t="s">
        <v>196</v>
      </c>
      <c r="F39" s="27"/>
      <c r="G39" s="28"/>
      <c r="H39" s="28"/>
      <c r="I39" s="28"/>
      <c r="J39" s="27" t="b">
        <v>1</v>
      </c>
    </row>
    <row r="40">
      <c r="A40" s="19" t="s">
        <v>225</v>
      </c>
      <c r="B40" s="19" t="s">
        <v>75</v>
      </c>
      <c r="C40" s="19" t="s">
        <v>224</v>
      </c>
      <c r="D40" s="19" t="s">
        <v>203</v>
      </c>
      <c r="E40" s="19" t="s">
        <v>57</v>
      </c>
      <c r="F40" s="19"/>
      <c r="G40" s="26"/>
      <c r="H40" s="26"/>
      <c r="I40" s="26"/>
      <c r="J40" s="26"/>
    </row>
    <row r="41">
      <c r="A41" s="27" t="s">
        <v>226</v>
      </c>
      <c r="B41" s="27" t="s">
        <v>133</v>
      </c>
      <c r="C41" s="27" t="s">
        <v>224</v>
      </c>
      <c r="D41" s="27" t="s">
        <v>228</v>
      </c>
      <c r="E41" s="27" t="s">
        <v>56</v>
      </c>
      <c r="F41" s="27"/>
      <c r="G41" s="28"/>
      <c r="H41" s="28"/>
      <c r="I41" s="28"/>
      <c r="J41" s="28"/>
    </row>
    <row r="42">
      <c r="A42" s="19" t="s">
        <v>229</v>
      </c>
      <c r="B42" s="19" t="s">
        <v>131</v>
      </c>
      <c r="C42" s="19" t="s">
        <v>224</v>
      </c>
      <c r="D42" s="19" t="s">
        <v>203</v>
      </c>
      <c r="E42" s="19" t="s">
        <v>58</v>
      </c>
      <c r="F42" s="19"/>
      <c r="G42" s="26"/>
      <c r="H42" s="26"/>
      <c r="I42" s="26"/>
      <c r="J42" s="26"/>
    </row>
    <row r="43">
      <c r="A43" s="27" t="s">
        <v>231</v>
      </c>
      <c r="B43" s="27" t="s">
        <v>139</v>
      </c>
      <c r="C43" s="27" t="s">
        <v>224</v>
      </c>
      <c r="D43" s="27" t="s">
        <v>228</v>
      </c>
      <c r="E43" s="27" t="s">
        <v>55</v>
      </c>
      <c r="F43" s="27"/>
      <c r="G43" s="28"/>
      <c r="H43" s="28"/>
      <c r="I43" s="28"/>
      <c r="J43" s="28"/>
    </row>
    <row r="44">
      <c r="A44" s="19" t="s">
        <v>233</v>
      </c>
      <c r="B44" s="19" t="s">
        <v>75</v>
      </c>
      <c r="C44" s="19" t="s">
        <v>234</v>
      </c>
      <c r="D44" s="19" t="s">
        <v>235</v>
      </c>
      <c r="E44" s="19" t="s">
        <v>57</v>
      </c>
      <c r="F44" s="19"/>
      <c r="G44" s="26"/>
      <c r="H44" s="26"/>
      <c r="I44" s="26"/>
      <c r="J44" s="26"/>
    </row>
    <row r="45">
      <c r="A45" s="27" t="s">
        <v>237</v>
      </c>
      <c r="B45" s="27" t="s">
        <v>75</v>
      </c>
      <c r="C45" s="27" t="s">
        <v>234</v>
      </c>
      <c r="D45" s="27" t="s">
        <v>235</v>
      </c>
      <c r="E45" s="27" t="s">
        <v>204</v>
      </c>
      <c r="F45" s="27"/>
      <c r="G45" s="28"/>
      <c r="H45" s="28"/>
      <c r="I45" s="28"/>
      <c r="J45" s="28"/>
    </row>
    <row r="46">
      <c r="A46" s="19" t="s">
        <v>239</v>
      </c>
      <c r="B46" s="19" t="s">
        <v>75</v>
      </c>
      <c r="C46" s="19" t="s">
        <v>234</v>
      </c>
      <c r="D46" s="19" t="s">
        <v>235</v>
      </c>
      <c r="E46" s="19" t="s">
        <v>129</v>
      </c>
      <c r="F46" s="19"/>
      <c r="G46" s="26"/>
      <c r="H46" s="26"/>
      <c r="I46" s="26"/>
      <c r="J46" s="26"/>
    </row>
    <row r="47">
      <c r="A47" s="27" t="s">
        <v>241</v>
      </c>
      <c r="B47" s="27" t="s">
        <v>75</v>
      </c>
      <c r="C47" s="27" t="s">
        <v>234</v>
      </c>
      <c r="D47" s="27" t="s">
        <v>235</v>
      </c>
      <c r="E47" s="27" t="s">
        <v>208</v>
      </c>
      <c r="F47" s="27"/>
      <c r="G47" s="27"/>
      <c r="H47" s="27"/>
      <c r="I47" s="28"/>
      <c r="J47" s="28"/>
    </row>
    <row r="48">
      <c r="A48" s="19"/>
      <c r="B48" s="19"/>
      <c r="C48" s="19"/>
      <c r="D48" s="19"/>
      <c r="E48" s="19"/>
      <c r="F48" s="19"/>
      <c r="G48" s="19"/>
      <c r="H48" s="19"/>
      <c r="I48" s="26"/>
      <c r="J48" s="26"/>
    </row>
    <row r="49">
      <c r="A49" s="27" t="s">
        <v>244</v>
      </c>
      <c r="B49" s="27" t="s">
        <v>131</v>
      </c>
      <c r="C49" s="27" t="s">
        <v>234</v>
      </c>
      <c r="D49" s="27" t="s">
        <v>235</v>
      </c>
      <c r="E49" s="27" t="s">
        <v>57</v>
      </c>
      <c r="F49" s="27"/>
      <c r="G49" s="28"/>
      <c r="H49" s="28"/>
      <c r="I49" s="28"/>
      <c r="J49" s="28"/>
    </row>
    <row r="50">
      <c r="A50" s="19" t="s">
        <v>247</v>
      </c>
      <c r="B50" s="19" t="s">
        <v>131</v>
      </c>
      <c r="C50" s="19" t="s">
        <v>234</v>
      </c>
      <c r="D50" s="19" t="s">
        <v>235</v>
      </c>
      <c r="E50" s="19" t="s">
        <v>208</v>
      </c>
      <c r="F50" s="19"/>
      <c r="G50" s="19"/>
      <c r="H50" s="19"/>
      <c r="I50" s="26"/>
      <c r="J50" s="26"/>
    </row>
    <row r="51">
      <c r="A51" s="27" t="s">
        <v>249</v>
      </c>
      <c r="B51" s="27" t="s">
        <v>131</v>
      </c>
      <c r="C51" s="27" t="s">
        <v>234</v>
      </c>
      <c r="D51" s="27" t="s">
        <v>235</v>
      </c>
      <c r="E51" s="27" t="s">
        <v>128</v>
      </c>
      <c r="F51" s="27"/>
      <c r="G51" s="28"/>
      <c r="H51" s="28"/>
      <c r="I51" s="28"/>
      <c r="J51" s="28"/>
    </row>
    <row r="52">
      <c r="A52" s="19" t="s">
        <v>251</v>
      </c>
      <c r="B52" s="19" t="s">
        <v>133</v>
      </c>
      <c r="C52" s="19" t="s">
        <v>234</v>
      </c>
      <c r="D52" s="19" t="s">
        <v>235</v>
      </c>
      <c r="E52" s="19" t="s">
        <v>129</v>
      </c>
      <c r="F52" s="19"/>
      <c r="G52" s="19"/>
      <c r="H52" s="19"/>
      <c r="I52" s="26"/>
      <c r="J52" s="26"/>
    </row>
    <row r="53">
      <c r="A53" s="27" t="s">
        <v>253</v>
      </c>
      <c r="B53" s="27" t="s">
        <v>133</v>
      </c>
      <c r="C53" s="27" t="s">
        <v>234</v>
      </c>
      <c r="D53" s="27" t="s">
        <v>235</v>
      </c>
      <c r="E53" s="27" t="s">
        <v>142</v>
      </c>
      <c r="F53" s="27"/>
      <c r="G53" s="27"/>
      <c r="H53" s="27"/>
      <c r="I53" s="28"/>
      <c r="J53" s="28"/>
    </row>
    <row r="54">
      <c r="A54" s="19" t="s">
        <v>255</v>
      </c>
      <c r="B54" s="19" t="s">
        <v>133</v>
      </c>
      <c r="C54" s="19" t="s">
        <v>234</v>
      </c>
      <c r="D54" s="19" t="s">
        <v>235</v>
      </c>
      <c r="E54" s="19" t="s">
        <v>208</v>
      </c>
      <c r="F54" s="19"/>
      <c r="G54" s="19"/>
      <c r="H54" s="19"/>
      <c r="I54" s="26"/>
      <c r="J54" s="26"/>
    </row>
    <row r="55">
      <c r="A55" s="27" t="s">
        <v>257</v>
      </c>
      <c r="B55" s="27" t="s">
        <v>135</v>
      </c>
      <c r="C55" s="27" t="s">
        <v>234</v>
      </c>
      <c r="D55" s="27" t="s">
        <v>235</v>
      </c>
      <c r="E55" s="27" t="s">
        <v>57</v>
      </c>
      <c r="F55" s="27"/>
      <c r="G55" s="28"/>
      <c r="H55" s="28"/>
      <c r="I55" s="28"/>
      <c r="J55" s="28"/>
    </row>
    <row r="56">
      <c r="A56" s="19" t="s">
        <v>260</v>
      </c>
      <c r="B56" s="19" t="s">
        <v>135</v>
      </c>
      <c r="C56" s="19" t="s">
        <v>234</v>
      </c>
      <c r="D56" s="19" t="s">
        <v>235</v>
      </c>
      <c r="E56" s="19" t="s">
        <v>58</v>
      </c>
      <c r="F56" s="19"/>
      <c r="G56" s="26"/>
      <c r="H56" s="26"/>
      <c r="I56" s="26"/>
      <c r="J56" s="26"/>
    </row>
    <row r="57">
      <c r="A57" s="27" t="s">
        <v>262</v>
      </c>
      <c r="B57" s="27" t="s">
        <v>135</v>
      </c>
      <c r="C57" s="27" t="s">
        <v>234</v>
      </c>
      <c r="D57" s="27" t="s">
        <v>235</v>
      </c>
      <c r="E57" s="27" t="s">
        <v>56</v>
      </c>
      <c r="F57" s="27"/>
      <c r="G57" s="28"/>
      <c r="H57" s="28"/>
      <c r="I57" s="28"/>
      <c r="J57" s="28"/>
    </row>
    <row r="58">
      <c r="A58" s="19" t="s">
        <v>263</v>
      </c>
      <c r="B58" s="19" t="s">
        <v>135</v>
      </c>
      <c r="C58" s="19" t="s">
        <v>234</v>
      </c>
      <c r="D58" s="19" t="s">
        <v>235</v>
      </c>
      <c r="E58" s="19" t="s">
        <v>56</v>
      </c>
      <c r="F58" s="19"/>
      <c r="G58" s="26"/>
      <c r="H58" s="26"/>
      <c r="I58" s="26"/>
      <c r="J58" s="26"/>
    </row>
    <row r="59">
      <c r="A59" s="27" t="s">
        <v>265</v>
      </c>
      <c r="B59" s="27" t="s">
        <v>135</v>
      </c>
      <c r="C59" s="27" t="s">
        <v>234</v>
      </c>
      <c r="D59" s="27" t="s">
        <v>235</v>
      </c>
      <c r="E59" s="27" t="s">
        <v>129</v>
      </c>
      <c r="F59" s="27"/>
      <c r="G59" s="27"/>
      <c r="H59" s="27"/>
      <c r="I59" s="28"/>
      <c r="J59" s="28"/>
    </row>
    <row r="60">
      <c r="A60" s="19" t="s">
        <v>263</v>
      </c>
      <c r="B60" s="19" t="s">
        <v>137</v>
      </c>
      <c r="C60" s="19" t="s">
        <v>234</v>
      </c>
      <c r="D60" s="19" t="s">
        <v>235</v>
      </c>
      <c r="E60" s="19" t="s">
        <v>142</v>
      </c>
      <c r="F60" s="19"/>
      <c r="G60" s="26"/>
      <c r="H60" s="26"/>
      <c r="I60" s="26"/>
      <c r="J60" s="26"/>
    </row>
    <row r="61">
      <c r="A61" s="27" t="s">
        <v>268</v>
      </c>
      <c r="B61" s="27" t="s">
        <v>137</v>
      </c>
      <c r="C61" s="27" t="s">
        <v>234</v>
      </c>
      <c r="D61" s="27" t="s">
        <v>235</v>
      </c>
      <c r="E61" s="27" t="s">
        <v>55</v>
      </c>
      <c r="F61" s="27"/>
      <c r="G61" s="27"/>
      <c r="H61" s="27"/>
      <c r="I61" s="28"/>
      <c r="J61" s="28"/>
    </row>
    <row r="62">
      <c r="A62" s="19" t="s">
        <v>271</v>
      </c>
      <c r="B62" s="19" t="s">
        <v>139</v>
      </c>
      <c r="C62" s="19" t="s">
        <v>234</v>
      </c>
      <c r="D62" s="19" t="s">
        <v>235</v>
      </c>
      <c r="E62" s="19" t="s">
        <v>142</v>
      </c>
      <c r="F62" s="19"/>
      <c r="G62" s="26"/>
      <c r="H62" s="26"/>
      <c r="I62" s="26"/>
      <c r="J62" s="26"/>
    </row>
    <row r="63">
      <c r="A63" s="27" t="s">
        <v>273</v>
      </c>
      <c r="B63" s="27" t="s">
        <v>139</v>
      </c>
      <c r="C63" s="27" t="s">
        <v>234</v>
      </c>
      <c r="D63" s="27" t="s">
        <v>235</v>
      </c>
      <c r="E63" s="27"/>
      <c r="F63" s="28"/>
      <c r="G63" s="28"/>
      <c r="H63" s="28"/>
      <c r="I63" s="28"/>
      <c r="J63" s="28"/>
    </row>
    <row r="64">
      <c r="A64" s="19" t="s">
        <v>275</v>
      </c>
      <c r="B64" s="19" t="s">
        <v>75</v>
      </c>
      <c r="C64" s="19" t="s">
        <v>276</v>
      </c>
      <c r="D64" s="19" t="s">
        <v>203</v>
      </c>
      <c r="E64" s="26"/>
      <c r="F64" s="26"/>
      <c r="G64" s="26"/>
      <c r="H64" s="26"/>
      <c r="I64" s="26"/>
      <c r="J64" s="26"/>
    </row>
    <row r="65">
      <c r="A65" s="27" t="s">
        <v>278</v>
      </c>
      <c r="B65" s="27" t="s">
        <v>75</v>
      </c>
      <c r="C65" s="27" t="s">
        <v>276</v>
      </c>
      <c r="D65" s="27" t="s">
        <v>228</v>
      </c>
      <c r="E65" s="27" t="s">
        <v>57</v>
      </c>
      <c r="F65" s="27"/>
      <c r="G65" s="28"/>
      <c r="H65" s="28"/>
      <c r="I65" s="28"/>
      <c r="J65" s="28"/>
    </row>
    <row r="66">
      <c r="A66" s="19" t="s">
        <v>280</v>
      </c>
      <c r="B66" s="19" t="s">
        <v>75</v>
      </c>
      <c r="C66" s="19" t="s">
        <v>276</v>
      </c>
      <c r="D66" s="19" t="s">
        <v>203</v>
      </c>
      <c r="E66" s="19" t="s">
        <v>218</v>
      </c>
      <c r="F66" s="19" t="s">
        <v>57</v>
      </c>
      <c r="G66" s="19"/>
      <c r="H66" s="19"/>
      <c r="I66" s="26"/>
      <c r="J66" s="26"/>
    </row>
    <row r="67">
      <c r="A67" s="27" t="s">
        <v>283</v>
      </c>
      <c r="B67" s="27" t="s">
        <v>75</v>
      </c>
      <c r="C67" s="27" t="s">
        <v>276</v>
      </c>
      <c r="D67" s="27" t="s">
        <v>228</v>
      </c>
      <c r="E67" s="27" t="s">
        <v>208</v>
      </c>
      <c r="F67" s="27"/>
      <c r="G67" s="28"/>
      <c r="H67" s="28"/>
      <c r="I67" s="28"/>
      <c r="J67" s="28"/>
    </row>
    <row r="68">
      <c r="A68" s="19" t="s">
        <v>285</v>
      </c>
      <c r="B68" s="19" t="s">
        <v>133</v>
      </c>
      <c r="C68" s="19" t="s">
        <v>276</v>
      </c>
      <c r="D68" s="19" t="s">
        <v>203</v>
      </c>
      <c r="E68" s="19"/>
      <c r="F68" s="26"/>
      <c r="G68" s="26"/>
      <c r="H68" s="26"/>
      <c r="I68" s="26"/>
      <c r="J68" s="26"/>
    </row>
    <row r="69">
      <c r="A69" s="27" t="s">
        <v>288</v>
      </c>
      <c r="B69" s="27" t="s">
        <v>133</v>
      </c>
      <c r="C69" s="27" t="s">
        <v>276</v>
      </c>
      <c r="D69" s="27" t="s">
        <v>203</v>
      </c>
      <c r="E69" s="27" t="s">
        <v>58</v>
      </c>
      <c r="F69" s="28"/>
      <c r="G69" s="28"/>
      <c r="H69" s="28"/>
      <c r="I69" s="28"/>
      <c r="J69" s="28"/>
    </row>
    <row r="70">
      <c r="A70" s="19" t="s">
        <v>291</v>
      </c>
      <c r="B70" s="19" t="s">
        <v>75</v>
      </c>
      <c r="C70" s="19" t="s">
        <v>292</v>
      </c>
      <c r="D70" s="19"/>
      <c r="E70" s="19" t="s">
        <v>57</v>
      </c>
      <c r="F70" s="19" t="s">
        <v>196</v>
      </c>
      <c r="G70" s="19" t="s">
        <v>128</v>
      </c>
      <c r="H70" s="19" t="s">
        <v>56</v>
      </c>
      <c r="I70" s="26"/>
      <c r="J70" s="26"/>
    </row>
    <row r="71">
      <c r="A71" s="27" t="s">
        <v>294</v>
      </c>
      <c r="B71" s="27" t="s">
        <v>133</v>
      </c>
      <c r="C71" s="27" t="s">
        <v>292</v>
      </c>
      <c r="D71" s="27"/>
      <c r="E71" s="27" t="s">
        <v>295</v>
      </c>
      <c r="F71" s="27" t="s">
        <v>57</v>
      </c>
      <c r="G71" s="27" t="s">
        <v>208</v>
      </c>
      <c r="H71" s="27" t="s">
        <v>129</v>
      </c>
      <c r="I71" s="28"/>
      <c r="J71" s="28"/>
    </row>
    <row r="72">
      <c r="A72" s="19" t="s">
        <v>297</v>
      </c>
      <c r="B72" s="19" t="s">
        <v>133</v>
      </c>
      <c r="C72" s="19" t="s">
        <v>292</v>
      </c>
      <c r="D72" s="19"/>
      <c r="E72" s="19"/>
      <c r="F72" s="19"/>
      <c r="G72" s="19"/>
      <c r="H72" s="19"/>
      <c r="I72" s="26"/>
      <c r="J72" s="26"/>
    </row>
    <row r="73">
      <c r="A73" s="27" t="s">
        <v>301</v>
      </c>
      <c r="B73" s="27" t="s">
        <v>135</v>
      </c>
      <c r="C73" s="27" t="s">
        <v>292</v>
      </c>
      <c r="D73" s="27"/>
      <c r="E73" s="27" t="s">
        <v>295</v>
      </c>
      <c r="F73" s="27" t="s">
        <v>57</v>
      </c>
      <c r="G73" s="27" t="s">
        <v>204</v>
      </c>
      <c r="H73" s="27" t="s">
        <v>196</v>
      </c>
      <c r="I73" s="28"/>
      <c r="J73" s="28"/>
    </row>
    <row r="74">
      <c r="A74" s="19" t="s">
        <v>303</v>
      </c>
      <c r="B74" s="19" t="s">
        <v>135</v>
      </c>
      <c r="C74" s="19" t="s">
        <v>292</v>
      </c>
      <c r="D74" s="19"/>
      <c r="E74" s="19" t="s">
        <v>57</v>
      </c>
      <c r="F74" s="19" t="s">
        <v>55</v>
      </c>
      <c r="G74" s="19" t="s">
        <v>128</v>
      </c>
      <c r="H74" s="19"/>
      <c r="I74" s="26"/>
      <c r="J74" s="26"/>
    </row>
    <row r="75">
      <c r="A75" s="27" t="s">
        <v>305</v>
      </c>
      <c r="B75" s="27" t="s">
        <v>133</v>
      </c>
      <c r="C75" s="27" t="s">
        <v>307</v>
      </c>
      <c r="D75" s="27" t="s">
        <v>228</v>
      </c>
      <c r="E75" s="27" t="s">
        <v>57</v>
      </c>
      <c r="F75" s="27"/>
      <c r="G75" s="28"/>
      <c r="H75" s="28"/>
      <c r="I75" s="28"/>
      <c r="J75" s="28"/>
    </row>
    <row r="76">
      <c r="A76" s="19" t="s">
        <v>309</v>
      </c>
      <c r="B76" s="19" t="s">
        <v>137</v>
      </c>
      <c r="C76" s="19" t="s">
        <v>307</v>
      </c>
      <c r="D76" s="19" t="s">
        <v>228</v>
      </c>
      <c r="E76" s="19" t="s">
        <v>55</v>
      </c>
      <c r="F76" s="19"/>
      <c r="G76" s="26"/>
      <c r="H76" s="26"/>
      <c r="I76" s="26"/>
      <c r="J76" s="26"/>
    </row>
    <row r="77">
      <c r="A77" s="27" t="s">
        <v>317</v>
      </c>
      <c r="B77" s="27" t="s">
        <v>137</v>
      </c>
      <c r="C77" s="27" t="s">
        <v>307</v>
      </c>
      <c r="D77" s="27" t="s">
        <v>228</v>
      </c>
      <c r="E77" s="27" t="s">
        <v>56</v>
      </c>
      <c r="F77" s="27"/>
      <c r="G77" s="28"/>
      <c r="H77" s="28"/>
      <c r="I77" s="28"/>
      <c r="J77" s="28"/>
    </row>
    <row r="78">
      <c r="A78" s="19" t="s">
        <v>324</v>
      </c>
      <c r="B78" s="19" t="s">
        <v>133</v>
      </c>
      <c r="C78" s="19" t="s">
        <v>307</v>
      </c>
      <c r="D78" s="19" t="s">
        <v>228</v>
      </c>
      <c r="E78" s="19" t="s">
        <v>129</v>
      </c>
      <c r="F78" s="19" t="s">
        <v>56</v>
      </c>
      <c r="G78" s="26"/>
      <c r="H78" s="26"/>
      <c r="I78" s="26"/>
      <c r="J78" s="26"/>
    </row>
    <row r="79">
      <c r="A79" s="27" t="s">
        <v>329</v>
      </c>
      <c r="B79" s="27" t="s">
        <v>75</v>
      </c>
      <c r="C79" s="27" t="s">
        <v>307</v>
      </c>
      <c r="D79" s="27" t="s">
        <v>228</v>
      </c>
      <c r="E79" s="27" t="s">
        <v>56</v>
      </c>
      <c r="F79" s="28"/>
      <c r="G79" s="28"/>
      <c r="H79" s="28"/>
      <c r="I79" s="28"/>
      <c r="J79" s="28"/>
    </row>
    <row r="80">
      <c r="A80" s="19" t="s">
        <v>332</v>
      </c>
      <c r="B80" s="19" t="s">
        <v>133</v>
      </c>
      <c r="C80" s="19" t="s">
        <v>307</v>
      </c>
      <c r="D80" s="19" t="s">
        <v>228</v>
      </c>
      <c r="E80" s="19" t="s">
        <v>129</v>
      </c>
      <c r="F80" s="19"/>
      <c r="G80" s="26"/>
      <c r="H80" s="26"/>
      <c r="I80" s="26"/>
      <c r="J80" s="26"/>
    </row>
    <row r="81">
      <c r="A81" s="27" t="s">
        <v>341</v>
      </c>
      <c r="B81" s="27" t="s">
        <v>131</v>
      </c>
      <c r="C81" s="27" t="s">
        <v>307</v>
      </c>
      <c r="D81" s="27" t="s">
        <v>228</v>
      </c>
      <c r="E81" s="27" t="s">
        <v>55</v>
      </c>
      <c r="F81" s="27"/>
      <c r="G81" s="28"/>
      <c r="H81" s="28"/>
      <c r="I81" s="28"/>
      <c r="J81" s="28"/>
    </row>
    <row r="82">
      <c r="A82" s="19" t="s">
        <v>346</v>
      </c>
      <c r="B82" s="19" t="s">
        <v>75</v>
      </c>
      <c r="C82" s="19" t="s">
        <v>307</v>
      </c>
      <c r="D82" s="19" t="s">
        <v>228</v>
      </c>
      <c r="E82" s="19" t="s">
        <v>208</v>
      </c>
      <c r="F82" s="26"/>
      <c r="G82" s="26"/>
      <c r="H82" s="26"/>
      <c r="I82" s="26"/>
      <c r="J82" s="26"/>
    </row>
    <row r="83">
      <c r="A83" s="27" t="s">
        <v>351</v>
      </c>
      <c r="B83" s="27" t="s">
        <v>131</v>
      </c>
      <c r="C83" s="27" t="s">
        <v>307</v>
      </c>
      <c r="D83" s="27" t="s">
        <v>228</v>
      </c>
      <c r="E83" s="27" t="s">
        <v>55</v>
      </c>
      <c r="F83" s="28"/>
      <c r="G83" s="28"/>
      <c r="H83" s="28"/>
      <c r="I83" s="28"/>
      <c r="J83" s="28"/>
    </row>
    <row r="84">
      <c r="A84" s="19" t="s">
        <v>360</v>
      </c>
      <c r="B84" s="19" t="s">
        <v>135</v>
      </c>
      <c r="C84" s="19" t="s">
        <v>307</v>
      </c>
      <c r="D84" s="19" t="s">
        <v>228</v>
      </c>
      <c r="E84" s="19" t="s">
        <v>128</v>
      </c>
      <c r="F84" s="26"/>
      <c r="G84" s="26"/>
      <c r="H84" s="26"/>
      <c r="I84" s="26"/>
      <c r="J84" s="26"/>
    </row>
    <row r="85">
      <c r="A85" s="27" t="s">
        <v>366</v>
      </c>
      <c r="B85" s="27" t="s">
        <v>75</v>
      </c>
      <c r="C85" s="27" t="s">
        <v>369</v>
      </c>
      <c r="D85" s="27" t="s">
        <v>203</v>
      </c>
      <c r="E85" s="27" t="s">
        <v>142</v>
      </c>
      <c r="F85" s="27"/>
      <c r="G85" s="28"/>
      <c r="H85" s="28"/>
      <c r="I85" s="28"/>
      <c r="J85" s="28"/>
    </row>
    <row r="86">
      <c r="A86" s="19" t="s">
        <v>372</v>
      </c>
      <c r="B86" s="19" t="s">
        <v>75</v>
      </c>
      <c r="C86" s="19" t="s">
        <v>369</v>
      </c>
      <c r="D86" s="19" t="s">
        <v>375</v>
      </c>
      <c r="E86" s="19" t="s">
        <v>142</v>
      </c>
      <c r="F86" s="19"/>
      <c r="G86" s="26"/>
      <c r="H86" s="26"/>
      <c r="I86" s="26"/>
      <c r="J86" s="26"/>
    </row>
    <row r="87">
      <c r="A87" s="27" t="s">
        <v>380</v>
      </c>
      <c r="B87" s="27" t="s">
        <v>131</v>
      </c>
      <c r="C87" s="27" t="s">
        <v>369</v>
      </c>
      <c r="D87" s="27" t="s">
        <v>375</v>
      </c>
      <c r="E87" s="27" t="s">
        <v>129</v>
      </c>
      <c r="F87" s="27"/>
      <c r="G87" s="28"/>
      <c r="H87" s="28"/>
      <c r="I87" s="28"/>
      <c r="J87" s="28"/>
    </row>
    <row r="88">
      <c r="A88" s="19" t="s">
        <v>385</v>
      </c>
      <c r="B88" s="19" t="s">
        <v>133</v>
      </c>
      <c r="C88" s="19" t="s">
        <v>369</v>
      </c>
      <c r="D88" s="19" t="s">
        <v>375</v>
      </c>
      <c r="E88" s="19" t="s">
        <v>128</v>
      </c>
      <c r="F88" s="19"/>
      <c r="G88" s="26"/>
      <c r="H88" s="26"/>
      <c r="I88" s="26"/>
      <c r="J88" s="26"/>
    </row>
    <row r="89">
      <c r="A89" s="27" t="s">
        <v>388</v>
      </c>
      <c r="B89" s="27" t="s">
        <v>133</v>
      </c>
      <c r="C89" s="27" t="s">
        <v>369</v>
      </c>
      <c r="D89" s="27" t="s">
        <v>375</v>
      </c>
      <c r="E89" s="27" t="s">
        <v>129</v>
      </c>
      <c r="F89" s="27"/>
      <c r="G89" s="28"/>
      <c r="H89" s="28"/>
      <c r="I89" s="28"/>
      <c r="J89" s="28"/>
    </row>
    <row r="90">
      <c r="A90" s="19" t="s">
        <v>372</v>
      </c>
      <c r="B90" s="19" t="s">
        <v>133</v>
      </c>
      <c r="C90" s="19" t="s">
        <v>369</v>
      </c>
      <c r="D90" s="19" t="s">
        <v>375</v>
      </c>
      <c r="E90" s="19" t="s">
        <v>142</v>
      </c>
      <c r="F90" s="19"/>
      <c r="G90" s="26"/>
      <c r="H90" s="26"/>
      <c r="I90" s="26"/>
      <c r="J90" s="26"/>
    </row>
    <row r="91">
      <c r="A91" s="27" t="s">
        <v>392</v>
      </c>
      <c r="B91" s="27" t="s">
        <v>135</v>
      </c>
      <c r="C91" s="27" t="s">
        <v>369</v>
      </c>
      <c r="D91" s="27" t="s">
        <v>375</v>
      </c>
      <c r="E91" s="27" t="s">
        <v>129</v>
      </c>
      <c r="F91" s="27" t="s">
        <v>204</v>
      </c>
      <c r="G91" s="28"/>
      <c r="H91" s="28"/>
      <c r="I91" s="28"/>
      <c r="J91" s="28"/>
    </row>
    <row r="92">
      <c r="A92" s="19" t="s">
        <v>394</v>
      </c>
      <c r="B92" s="19" t="s">
        <v>135</v>
      </c>
      <c r="C92" s="19" t="s">
        <v>369</v>
      </c>
      <c r="D92" s="19" t="s">
        <v>375</v>
      </c>
      <c r="E92" s="19" t="s">
        <v>129</v>
      </c>
      <c r="F92" s="19"/>
      <c r="G92" s="26"/>
      <c r="H92" s="26"/>
      <c r="I92" s="26"/>
      <c r="J92" s="26"/>
    </row>
    <row r="93">
      <c r="A93" s="27" t="s">
        <v>396</v>
      </c>
      <c r="B93" s="27" t="s">
        <v>135</v>
      </c>
      <c r="C93" s="27" t="s">
        <v>369</v>
      </c>
      <c r="D93" s="27" t="s">
        <v>203</v>
      </c>
      <c r="E93" s="27" t="s">
        <v>218</v>
      </c>
      <c r="F93" s="27" t="s">
        <v>142</v>
      </c>
      <c r="G93" s="28"/>
      <c r="H93" s="28"/>
      <c r="I93" s="28"/>
      <c r="J93" s="28"/>
    </row>
    <row r="94">
      <c r="A94" s="19" t="s">
        <v>388</v>
      </c>
      <c r="B94" s="19" t="s">
        <v>137</v>
      </c>
      <c r="C94" s="19" t="s">
        <v>369</v>
      </c>
      <c r="D94" s="19" t="s">
        <v>375</v>
      </c>
      <c r="E94" s="19" t="s">
        <v>129</v>
      </c>
      <c r="F94" s="19"/>
      <c r="G94" s="26"/>
      <c r="H94" s="26"/>
      <c r="I94" s="26"/>
      <c r="J94" s="26"/>
    </row>
    <row r="95">
      <c r="A95" s="27" t="s">
        <v>394</v>
      </c>
      <c r="B95" s="27" t="s">
        <v>139</v>
      </c>
      <c r="C95" s="27" t="s">
        <v>369</v>
      </c>
      <c r="D95" s="27" t="s">
        <v>375</v>
      </c>
      <c r="E95" s="27" t="s">
        <v>129</v>
      </c>
      <c r="F95" s="27"/>
      <c r="G95" s="28"/>
      <c r="H95" s="28"/>
      <c r="I95" s="28"/>
      <c r="J95" s="28"/>
    </row>
    <row r="96">
      <c r="A96" s="19" t="s">
        <v>403</v>
      </c>
      <c r="B96" s="19" t="s">
        <v>139</v>
      </c>
      <c r="C96" s="19" t="s">
        <v>369</v>
      </c>
      <c r="D96" s="19" t="s">
        <v>203</v>
      </c>
      <c r="E96" s="19" t="s">
        <v>142</v>
      </c>
      <c r="F96" s="19"/>
      <c r="G96" s="19"/>
      <c r="H96" s="19"/>
      <c r="I96" s="26"/>
      <c r="J96" s="26"/>
    </row>
    <row r="97">
      <c r="A97" s="27" t="s">
        <v>405</v>
      </c>
      <c r="B97" s="27" t="s">
        <v>133</v>
      </c>
      <c r="C97" s="27" t="s">
        <v>406</v>
      </c>
      <c r="D97" s="27" t="s">
        <v>203</v>
      </c>
      <c r="E97" s="27" t="s">
        <v>57</v>
      </c>
      <c r="F97" s="28"/>
      <c r="G97" s="28"/>
      <c r="H97" s="28"/>
      <c r="I97" s="28"/>
      <c r="J97" s="28"/>
    </row>
    <row r="98">
      <c r="A98" s="19" t="s">
        <v>409</v>
      </c>
      <c r="B98" s="19" t="s">
        <v>133</v>
      </c>
      <c r="C98" s="19" t="s">
        <v>406</v>
      </c>
      <c r="D98" s="19" t="s">
        <v>203</v>
      </c>
      <c r="E98" s="19" t="s">
        <v>57</v>
      </c>
      <c r="F98" s="26"/>
      <c r="G98" s="26"/>
      <c r="H98" s="26"/>
      <c r="I98" s="26"/>
      <c r="J98" s="26"/>
    </row>
    <row r="99">
      <c r="A99" s="28"/>
      <c r="B99" s="28"/>
      <c r="C99" s="28"/>
      <c r="D99" s="27"/>
      <c r="E99" s="28"/>
      <c r="F99" s="28"/>
      <c r="G99" s="28"/>
      <c r="H99" s="28"/>
      <c r="I99" s="28"/>
      <c r="J99" s="28"/>
    </row>
    <row r="100">
      <c r="A100" s="26"/>
      <c r="B100" s="26"/>
      <c r="C100" s="26"/>
      <c r="D100" s="19"/>
      <c r="E100" s="26"/>
      <c r="F100" s="26"/>
      <c r="G100" s="26"/>
      <c r="H100" s="26"/>
      <c r="I100" s="26"/>
      <c r="J100" s="26"/>
    </row>
    <row r="101">
      <c r="A101" s="28"/>
      <c r="B101" s="28"/>
      <c r="C101" s="28"/>
      <c r="D101" s="27"/>
      <c r="E101" s="28"/>
      <c r="F101" s="28"/>
      <c r="G101" s="28"/>
      <c r="H101" s="28"/>
      <c r="I101" s="28"/>
      <c r="J101" s="28"/>
    </row>
    <row r="102">
      <c r="A102" s="26"/>
      <c r="B102" s="26"/>
      <c r="C102" s="26"/>
      <c r="D102" s="19"/>
      <c r="E102" s="26"/>
      <c r="F102" s="26"/>
      <c r="G102" s="26"/>
      <c r="H102" s="26"/>
      <c r="I102" s="26"/>
      <c r="J102" s="26"/>
    </row>
    <row r="103">
      <c r="A103" s="28"/>
      <c r="B103" s="28"/>
      <c r="C103" s="28"/>
      <c r="D103" s="27"/>
      <c r="E103" s="28"/>
      <c r="F103" s="28"/>
      <c r="G103" s="28"/>
      <c r="H103" s="28"/>
      <c r="I103" s="28"/>
      <c r="J103" s="28"/>
    </row>
    <row r="104">
      <c r="A104" s="26"/>
      <c r="B104" s="26"/>
      <c r="C104" s="26"/>
      <c r="D104" s="19"/>
      <c r="E104" s="26"/>
      <c r="F104" s="26"/>
      <c r="G104" s="26"/>
      <c r="H104" s="26"/>
      <c r="I104" s="26"/>
      <c r="J104" s="26"/>
    </row>
    <row r="105">
      <c r="A105" s="28"/>
      <c r="B105" s="28"/>
      <c r="C105" s="28"/>
      <c r="D105" s="27"/>
      <c r="E105" s="28"/>
      <c r="F105" s="28"/>
      <c r="G105" s="28"/>
      <c r="H105" s="28"/>
      <c r="I105" s="28"/>
      <c r="J105" s="28"/>
    </row>
    <row r="106">
      <c r="A106" s="26"/>
      <c r="B106" s="26"/>
      <c r="C106" s="26"/>
      <c r="D106" s="19"/>
      <c r="E106" s="26"/>
      <c r="F106" s="26"/>
      <c r="G106" s="26"/>
      <c r="H106" s="26"/>
      <c r="I106" s="26"/>
      <c r="J106" s="26"/>
    </row>
    <row r="107">
      <c r="A107" s="28"/>
      <c r="B107" s="28"/>
      <c r="C107" s="28"/>
      <c r="D107" s="27"/>
      <c r="E107" s="28"/>
      <c r="F107" s="28"/>
      <c r="G107" s="28"/>
      <c r="H107" s="28"/>
      <c r="I107" s="28"/>
      <c r="J107" s="28"/>
    </row>
    <row r="108">
      <c r="A108" s="26"/>
      <c r="B108" s="26"/>
      <c r="C108" s="26"/>
      <c r="D108" s="19"/>
      <c r="E108" s="26"/>
      <c r="F108" s="26"/>
      <c r="G108" s="26"/>
      <c r="H108" s="26"/>
      <c r="I108" s="26"/>
      <c r="J108" s="26"/>
    </row>
    <row r="109">
      <c r="A109" s="28"/>
      <c r="B109" s="28"/>
      <c r="C109" s="28"/>
      <c r="D109" s="27"/>
      <c r="E109" s="28"/>
      <c r="F109" s="28"/>
      <c r="G109" s="28"/>
      <c r="H109" s="28"/>
      <c r="I109" s="28"/>
      <c r="J109" s="28"/>
    </row>
    <row r="110">
      <c r="A110" s="26"/>
      <c r="B110" s="26"/>
      <c r="C110" s="26"/>
      <c r="D110" s="19"/>
      <c r="E110" s="26"/>
      <c r="F110" s="26"/>
      <c r="G110" s="26"/>
      <c r="H110" s="26"/>
      <c r="I110" s="26"/>
      <c r="J110" s="26"/>
    </row>
    <row r="111">
      <c r="A111" s="28"/>
      <c r="B111" s="28"/>
      <c r="C111" s="28"/>
      <c r="D111" s="27"/>
      <c r="E111" s="28"/>
      <c r="F111" s="28"/>
      <c r="G111" s="28"/>
      <c r="H111" s="28"/>
      <c r="I111" s="28"/>
      <c r="J111" s="28"/>
    </row>
    <row r="112">
      <c r="A112" s="26"/>
      <c r="B112" s="26"/>
      <c r="C112" s="26"/>
      <c r="D112" s="19"/>
      <c r="E112" s="26"/>
      <c r="F112" s="26"/>
      <c r="G112" s="26"/>
      <c r="H112" s="26"/>
      <c r="I112" s="26"/>
      <c r="J112" s="26"/>
    </row>
    <row r="113">
      <c r="A113" s="28"/>
      <c r="B113" s="28"/>
      <c r="C113" s="28"/>
      <c r="D113" s="27"/>
      <c r="E113" s="28"/>
      <c r="F113" s="28"/>
      <c r="G113" s="28"/>
      <c r="H113" s="28"/>
      <c r="I113" s="28"/>
      <c r="J113" s="28"/>
    </row>
    <row r="114">
      <c r="A114" s="26"/>
      <c r="B114" s="26"/>
      <c r="C114" s="26"/>
      <c r="D114" s="19"/>
      <c r="E114" s="26"/>
      <c r="F114" s="26"/>
      <c r="G114" s="26"/>
      <c r="H114" s="26"/>
      <c r="I114" s="26"/>
      <c r="J114" s="26"/>
    </row>
    <row r="115">
      <c r="A115" s="28"/>
      <c r="B115" s="28"/>
      <c r="C115" s="28"/>
      <c r="D115" s="27"/>
      <c r="E115" s="28"/>
      <c r="F115" s="28"/>
      <c r="G115" s="28"/>
      <c r="H115" s="28"/>
      <c r="I115" s="28"/>
      <c r="J115" s="28"/>
    </row>
    <row r="116">
      <c r="A116" s="26"/>
      <c r="B116" s="26"/>
      <c r="C116" s="26"/>
      <c r="D116" s="19"/>
      <c r="E116" s="26"/>
      <c r="F116" s="26"/>
      <c r="G116" s="26"/>
      <c r="H116" s="26"/>
      <c r="I116" s="26"/>
      <c r="J116" s="26"/>
    </row>
    <row r="117">
      <c r="A117" s="28"/>
      <c r="B117" s="28"/>
      <c r="C117" s="28"/>
      <c r="D117" s="27"/>
      <c r="E117" s="28"/>
      <c r="F117" s="28"/>
      <c r="G117" s="28"/>
      <c r="H117" s="28"/>
      <c r="I117" s="28"/>
      <c r="J117" s="28"/>
    </row>
    <row r="118">
      <c r="A118" s="26"/>
      <c r="B118" s="26"/>
      <c r="C118" s="26"/>
      <c r="D118" s="19"/>
      <c r="E118" s="26"/>
      <c r="F118" s="26"/>
      <c r="G118" s="26"/>
      <c r="H118" s="26"/>
      <c r="I118" s="26"/>
      <c r="J118" s="26"/>
    </row>
    <row r="119">
      <c r="A119" s="28"/>
      <c r="B119" s="28"/>
      <c r="C119" s="28"/>
      <c r="D119" s="27"/>
      <c r="E119" s="28"/>
      <c r="F119" s="28"/>
      <c r="G119" s="28"/>
      <c r="H119" s="28"/>
      <c r="I119" s="28"/>
      <c r="J119" s="28"/>
    </row>
    <row r="120">
      <c r="A120" s="26"/>
      <c r="B120" s="26"/>
      <c r="C120" s="26"/>
      <c r="D120" s="19"/>
      <c r="E120" s="26"/>
      <c r="F120" s="26"/>
      <c r="G120" s="26"/>
      <c r="H120" s="26"/>
      <c r="I120" s="26"/>
      <c r="J120" s="26"/>
    </row>
    <row r="121">
      <c r="A121" s="28"/>
      <c r="B121" s="28"/>
      <c r="C121" s="28"/>
      <c r="D121" s="27"/>
      <c r="E121" s="28"/>
      <c r="F121" s="28"/>
      <c r="G121" s="28"/>
      <c r="H121" s="28"/>
      <c r="I121" s="28"/>
      <c r="J121" s="28"/>
    </row>
    <row r="122">
      <c r="A122" s="26"/>
      <c r="B122" s="26"/>
      <c r="C122" s="26"/>
      <c r="D122" s="19"/>
      <c r="E122" s="26"/>
      <c r="F122" s="26"/>
      <c r="G122" s="26"/>
      <c r="H122" s="26"/>
      <c r="I122" s="26"/>
      <c r="J122" s="26"/>
    </row>
    <row r="123">
      <c r="A123" s="28"/>
      <c r="B123" s="28"/>
      <c r="C123" s="28"/>
      <c r="D123" s="27"/>
      <c r="E123" s="28"/>
      <c r="F123" s="28"/>
      <c r="G123" s="28"/>
      <c r="H123" s="28"/>
      <c r="I123" s="28"/>
      <c r="J123" s="28"/>
    </row>
    <row r="124">
      <c r="A124" s="26"/>
      <c r="B124" s="26"/>
      <c r="C124" s="26"/>
      <c r="D124" s="19"/>
      <c r="E124" s="26"/>
      <c r="F124" s="26"/>
      <c r="G124" s="26"/>
      <c r="H124" s="26"/>
      <c r="I124" s="26"/>
      <c r="J124" s="26"/>
    </row>
    <row r="125">
      <c r="A125" s="28"/>
      <c r="B125" s="28"/>
      <c r="C125" s="28"/>
      <c r="D125" s="27"/>
      <c r="E125" s="28"/>
      <c r="F125" s="28"/>
      <c r="G125" s="28"/>
      <c r="H125" s="28"/>
      <c r="I125" s="28"/>
      <c r="J125" s="28"/>
    </row>
    <row r="126">
      <c r="A126" s="26"/>
      <c r="B126" s="26"/>
      <c r="C126" s="26"/>
      <c r="D126" s="19"/>
      <c r="E126" s="26"/>
      <c r="F126" s="26"/>
      <c r="G126" s="26"/>
      <c r="H126" s="26"/>
      <c r="I126" s="26"/>
      <c r="J126" s="26"/>
    </row>
    <row r="127">
      <c r="A127" s="28"/>
      <c r="B127" s="28"/>
      <c r="C127" s="28"/>
      <c r="D127" s="27"/>
      <c r="E127" s="28"/>
      <c r="F127" s="28"/>
      <c r="G127" s="28"/>
      <c r="H127" s="28"/>
      <c r="I127" s="28"/>
      <c r="J127" s="28"/>
    </row>
    <row r="128">
      <c r="A128" s="26"/>
      <c r="B128" s="26"/>
      <c r="C128" s="26"/>
      <c r="D128" s="19"/>
      <c r="E128" s="26"/>
      <c r="F128" s="26"/>
      <c r="G128" s="26"/>
      <c r="H128" s="26"/>
      <c r="I128" s="26"/>
      <c r="J128" s="26"/>
    </row>
    <row r="129">
      <c r="A129" s="28"/>
      <c r="B129" s="28"/>
      <c r="C129" s="28"/>
      <c r="D129" s="27"/>
      <c r="E129" s="28"/>
      <c r="F129" s="28"/>
      <c r="G129" s="28"/>
      <c r="H129" s="28"/>
      <c r="I129" s="28"/>
      <c r="J129" s="28"/>
    </row>
    <row r="130">
      <c r="A130" s="26"/>
      <c r="B130" s="26"/>
      <c r="C130" s="26"/>
      <c r="D130" s="19"/>
      <c r="E130" s="26"/>
      <c r="F130" s="26"/>
      <c r="G130" s="26"/>
      <c r="H130" s="26"/>
      <c r="I130" s="26"/>
      <c r="J130" s="26"/>
    </row>
    <row r="131">
      <c r="A131" s="28"/>
      <c r="B131" s="28"/>
      <c r="C131" s="28"/>
      <c r="D131" s="27"/>
      <c r="E131" s="28"/>
      <c r="F131" s="28"/>
      <c r="G131" s="28"/>
      <c r="H131" s="28"/>
      <c r="I131" s="28"/>
      <c r="J131" s="28"/>
    </row>
    <row r="132">
      <c r="A132" s="26"/>
      <c r="B132" s="26"/>
      <c r="C132" s="26"/>
      <c r="D132" s="19"/>
      <c r="E132" s="26"/>
      <c r="F132" s="26"/>
      <c r="G132" s="26"/>
      <c r="H132" s="26"/>
      <c r="I132" s="26"/>
      <c r="J132" s="26"/>
    </row>
    <row r="133">
      <c r="A133" s="28"/>
      <c r="B133" s="28"/>
      <c r="C133" s="28"/>
      <c r="D133" s="27"/>
      <c r="E133" s="28"/>
      <c r="F133" s="28"/>
      <c r="G133" s="28"/>
      <c r="H133" s="28"/>
      <c r="I133" s="28"/>
      <c r="J133" s="28"/>
    </row>
    <row r="134">
      <c r="A134" s="26"/>
      <c r="B134" s="26"/>
      <c r="C134" s="26"/>
      <c r="D134" s="19"/>
      <c r="E134" s="26"/>
      <c r="F134" s="26"/>
      <c r="G134" s="26"/>
      <c r="H134" s="26"/>
      <c r="I134" s="26"/>
      <c r="J134" s="26"/>
    </row>
    <row r="135">
      <c r="A135" s="28"/>
      <c r="B135" s="28"/>
      <c r="C135" s="28"/>
      <c r="D135" s="27"/>
      <c r="E135" s="28"/>
      <c r="F135" s="28"/>
      <c r="G135" s="28"/>
      <c r="H135" s="28"/>
      <c r="I135" s="28"/>
      <c r="J135" s="28"/>
    </row>
    <row r="136">
      <c r="A136" s="26"/>
      <c r="B136" s="26"/>
      <c r="C136" s="26"/>
      <c r="D136" s="19"/>
      <c r="E136" s="26"/>
      <c r="F136" s="26"/>
      <c r="G136" s="26"/>
      <c r="H136" s="26"/>
      <c r="I136" s="26"/>
      <c r="J136" s="26"/>
    </row>
    <row r="137">
      <c r="A137" s="28"/>
      <c r="B137" s="28"/>
      <c r="C137" s="28"/>
      <c r="D137" s="27"/>
      <c r="E137" s="28"/>
      <c r="F137" s="28"/>
      <c r="G137" s="28"/>
      <c r="H137" s="28"/>
      <c r="I137" s="28"/>
      <c r="J137" s="28"/>
    </row>
    <row r="138">
      <c r="A138" s="26"/>
      <c r="B138" s="26"/>
      <c r="C138" s="26"/>
      <c r="D138" s="19"/>
      <c r="E138" s="26"/>
      <c r="F138" s="26"/>
      <c r="G138" s="26"/>
      <c r="H138" s="26"/>
      <c r="I138" s="26"/>
      <c r="J138" s="26"/>
    </row>
    <row r="139">
      <c r="A139" s="28"/>
      <c r="B139" s="28"/>
      <c r="C139" s="28"/>
      <c r="D139" s="27"/>
      <c r="E139" s="28"/>
      <c r="F139" s="28"/>
      <c r="G139" s="28"/>
      <c r="H139" s="28"/>
      <c r="I139" s="28"/>
      <c r="J139" s="28"/>
    </row>
    <row r="140">
      <c r="A140" s="26"/>
      <c r="B140" s="26"/>
      <c r="C140" s="26"/>
      <c r="D140" s="19"/>
      <c r="E140" s="26"/>
      <c r="F140" s="26"/>
      <c r="G140" s="26"/>
      <c r="H140" s="26"/>
      <c r="I140" s="26"/>
      <c r="J140" s="26"/>
    </row>
    <row r="141">
      <c r="A141" s="28"/>
      <c r="B141" s="28"/>
      <c r="C141" s="28"/>
      <c r="D141" s="27"/>
      <c r="E141" s="28"/>
      <c r="F141" s="28"/>
      <c r="G141" s="28"/>
      <c r="H141" s="28"/>
      <c r="I141" s="28"/>
      <c r="J141" s="28"/>
    </row>
    <row r="142">
      <c r="A142" s="26"/>
      <c r="B142" s="26"/>
      <c r="C142" s="26"/>
      <c r="D142" s="19"/>
      <c r="E142" s="26"/>
      <c r="F142" s="26"/>
      <c r="G142" s="26"/>
      <c r="H142" s="26"/>
      <c r="I142" s="26"/>
      <c r="J142" s="26"/>
    </row>
    <row r="143">
      <c r="A143" s="28"/>
      <c r="B143" s="28"/>
      <c r="C143" s="28"/>
      <c r="D143" s="27"/>
      <c r="E143" s="28"/>
      <c r="F143" s="28"/>
      <c r="G143" s="28"/>
      <c r="H143" s="28"/>
      <c r="I143" s="28"/>
      <c r="J143" s="28"/>
    </row>
    <row r="144">
      <c r="A144" s="26"/>
      <c r="B144" s="26"/>
      <c r="C144" s="26"/>
      <c r="D144" s="19"/>
      <c r="E144" s="26"/>
      <c r="F144" s="26"/>
      <c r="G144" s="26"/>
      <c r="H144" s="26"/>
      <c r="I144" s="26"/>
      <c r="J144" s="26"/>
    </row>
    <row r="145">
      <c r="A145" s="28"/>
      <c r="B145" s="28"/>
      <c r="C145" s="28"/>
      <c r="D145" s="27"/>
      <c r="E145" s="28"/>
      <c r="F145" s="28"/>
      <c r="G145" s="28"/>
      <c r="H145" s="28"/>
      <c r="I145" s="28"/>
      <c r="J145" s="28"/>
    </row>
    <row r="146">
      <c r="A146" s="26"/>
      <c r="B146" s="26"/>
      <c r="C146" s="26"/>
      <c r="D146" s="19"/>
      <c r="E146" s="26"/>
      <c r="F146" s="26"/>
      <c r="G146" s="26"/>
      <c r="H146" s="26"/>
      <c r="I146" s="26"/>
      <c r="J146" s="26"/>
    </row>
    <row r="147">
      <c r="A147" s="28"/>
      <c r="B147" s="28"/>
      <c r="C147" s="28"/>
      <c r="D147" s="27"/>
      <c r="E147" s="28"/>
      <c r="F147" s="28"/>
      <c r="G147" s="28"/>
      <c r="H147" s="28"/>
      <c r="I147" s="28"/>
      <c r="J147" s="28"/>
    </row>
    <row r="148">
      <c r="A148" s="26"/>
      <c r="B148" s="26"/>
      <c r="C148" s="26"/>
      <c r="D148" s="19"/>
      <c r="E148" s="26"/>
      <c r="F148" s="26"/>
      <c r="G148" s="26"/>
      <c r="H148" s="26"/>
      <c r="I148" s="26"/>
      <c r="J148" s="26"/>
    </row>
    <row r="149">
      <c r="A149" s="28"/>
      <c r="B149" s="28"/>
      <c r="C149" s="28"/>
      <c r="D149" s="27"/>
      <c r="E149" s="28"/>
      <c r="F149" s="28"/>
      <c r="G149" s="28"/>
      <c r="H149" s="28"/>
      <c r="I149" s="28"/>
      <c r="J149" s="28"/>
    </row>
    <row r="150">
      <c r="A150" s="26"/>
      <c r="B150" s="26"/>
      <c r="C150" s="26"/>
      <c r="D150" s="19"/>
      <c r="E150" s="26"/>
      <c r="F150" s="26"/>
      <c r="G150" s="26"/>
      <c r="H150" s="26"/>
      <c r="I150" s="26"/>
      <c r="J150" s="26"/>
    </row>
    <row r="151">
      <c r="A151" s="28"/>
      <c r="B151" s="28"/>
      <c r="C151" s="28"/>
      <c r="D151" s="27"/>
      <c r="E151" s="28"/>
      <c r="F151" s="28"/>
      <c r="G151" s="28"/>
      <c r="H151" s="28"/>
      <c r="I151" s="28"/>
      <c r="J151" s="28"/>
    </row>
    <row r="152">
      <c r="A152" s="26"/>
      <c r="B152" s="26"/>
      <c r="C152" s="26"/>
      <c r="D152" s="19"/>
      <c r="E152" s="26"/>
      <c r="F152" s="26"/>
      <c r="G152" s="26"/>
      <c r="H152" s="26"/>
      <c r="I152" s="26"/>
      <c r="J152" s="26"/>
    </row>
  </sheetData>
  <autoFilter ref="$A$1:$J$102">
    <sortState ref="A1:J102">
      <sortCondition ref="J1:J102"/>
      <sortCondition ref="C1:C102"/>
      <sortCondition ref="B1:B102"/>
      <sortCondition ref="A1:A102"/>
      <sortCondition ref="I1:I102"/>
      <sortCondition ref="F1:F102"/>
    </sortState>
  </autoFilter>
  <dataValidations>
    <dataValidation type="list" allowBlank="1" sqref="I2:I152">
      <formula1>"Instant,Encounter,Hour"</formula1>
    </dataValidation>
    <dataValidation type="list" allowBlank="1" sqref="E2:H152">
      <formula1>"Bone,Metal,Wood,Cloth,Leather,Medicinal,Precious,Food,Brilliant,Fire,Frost,Shadow,(Bone/Metal/Wood),[Elemental]"</formula1>
    </dataValidation>
    <dataValidation type="list" allowBlank="1" sqref="D2:D152">
      <formula1>"Weapon,Clothing,Armor,Jewelry"</formula1>
    </dataValidation>
    <dataValidation type="list" allowBlank="1" showErrorMessage="1" sqref="J2:J152">
      <formula1>"TRUE,FALSE"</formula1>
    </dataValidation>
    <dataValidation type="list" allowBlank="1" sqref="C2:C152">
      <formula1>"Head,Torso,Hands,Feet,Held,Neck,Ring,Belt,Potion,Grenade,Poison,Other,Food"</formula1>
    </dataValidation>
    <dataValidation type="list" allowBlank="1" sqref="B2:B152">
      <formula1>"Level 1,Level 2,Level 3,Level 4,Level 5,Level 1-5"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</cols>
  <sheetData>
    <row r="1">
      <c r="A1" s="31" t="s">
        <v>143</v>
      </c>
      <c r="B1" s="31">
        <v>1.0</v>
      </c>
      <c r="C1" s="31" t="s">
        <v>144</v>
      </c>
    </row>
    <row r="2">
      <c r="A2" s="31" t="s">
        <v>146</v>
      </c>
      <c r="B2" s="31">
        <v>0.25</v>
      </c>
    </row>
    <row r="3">
      <c r="A3" s="31"/>
    </row>
    <row r="4">
      <c r="A4" s="1" t="s">
        <v>147</v>
      </c>
      <c r="B4" s="1" t="s">
        <v>148</v>
      </c>
      <c r="C4" s="1" t="s">
        <v>149</v>
      </c>
    </row>
    <row r="5">
      <c r="A5" s="31" t="s">
        <v>150</v>
      </c>
      <c r="B5" s="31">
        <v>1.0</v>
      </c>
      <c r="C5" s="32">
        <f t="shared" ref="C5:C8" si="1">$B$1/$B$2/B5</f>
        <v>4</v>
      </c>
    </row>
    <row r="6">
      <c r="A6" s="31" t="s">
        <v>152</v>
      </c>
      <c r="B6" s="31">
        <v>0.5</v>
      </c>
      <c r="C6" s="32">
        <f t="shared" si="1"/>
        <v>8</v>
      </c>
    </row>
    <row r="7">
      <c r="A7" s="31" t="s">
        <v>153</v>
      </c>
      <c r="B7" s="31">
        <v>2.0</v>
      </c>
      <c r="C7" s="32">
        <f t="shared" si="1"/>
        <v>2</v>
      </c>
    </row>
    <row r="8">
      <c r="A8" s="31" t="s">
        <v>154</v>
      </c>
      <c r="B8" s="31">
        <v>1.0</v>
      </c>
      <c r="C8" s="32">
        <f t="shared" si="1"/>
        <v>4</v>
      </c>
    </row>
    <row r="11">
      <c r="A11" s="31" t="s">
        <v>155</v>
      </c>
      <c r="B11" s="31">
        <v>20.0</v>
      </c>
      <c r="C11" s="31" t="s">
        <v>156</v>
      </c>
    </row>
    <row r="12">
      <c r="A12" s="31" t="s">
        <v>157</v>
      </c>
      <c r="B12" s="32">
        <f>B11*5/3</f>
        <v>33.33333333</v>
      </c>
      <c r="C12" s="31" t="s">
        <v>159</v>
      </c>
    </row>
    <row r="13">
      <c r="A13" s="31" t="s">
        <v>160</v>
      </c>
      <c r="B13" s="31">
        <v>16.0</v>
      </c>
    </row>
    <row r="14">
      <c r="A14" s="31" t="s">
        <v>161</v>
      </c>
      <c r="B14" s="31">
        <v>4.0</v>
      </c>
    </row>
    <row r="15">
      <c r="A15" s="31" t="s">
        <v>162</v>
      </c>
      <c r="B15" s="32">
        <f>B14*B13</f>
        <v>64</v>
      </c>
    </row>
    <row r="16">
      <c r="A16" s="31" t="s">
        <v>164</v>
      </c>
      <c r="B16" s="32">
        <f>B15/B12</f>
        <v>1.92</v>
      </c>
    </row>
    <row r="18">
      <c r="A18" s="31"/>
      <c r="B18" s="31" t="s">
        <v>159</v>
      </c>
      <c r="C18" s="31" t="s">
        <v>166</v>
      </c>
    </row>
    <row r="19">
      <c r="A19" s="31" t="s">
        <v>167</v>
      </c>
      <c r="B19" s="31">
        <v>2.0</v>
      </c>
      <c r="C19" s="32">
        <f t="shared" ref="C19:C22" si="2">B19/4</f>
        <v>0.5</v>
      </c>
    </row>
    <row r="20">
      <c r="A20" s="31" t="s">
        <v>168</v>
      </c>
      <c r="B20" s="31">
        <v>1.0</v>
      </c>
      <c r="C20" s="32">
        <f t="shared" si="2"/>
        <v>0.25</v>
      </c>
    </row>
    <row r="21">
      <c r="A21" s="31" t="s">
        <v>169</v>
      </c>
      <c r="B21" s="31">
        <v>1.0</v>
      </c>
      <c r="C21" s="32">
        <f t="shared" si="2"/>
        <v>0.25</v>
      </c>
    </row>
    <row r="22">
      <c r="A22" s="31" t="s">
        <v>170</v>
      </c>
      <c r="B22" s="31">
        <v>0.5</v>
      </c>
      <c r="C22" s="32">
        <f t="shared" si="2"/>
        <v>0.125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88"/>
  </cols>
  <sheetData>
    <row r="1">
      <c r="A1" s="34" t="s">
        <v>165</v>
      </c>
      <c r="B1" s="32">
        <f>4 + 1/3</f>
        <v>4.333333333</v>
      </c>
    </row>
    <row r="2">
      <c r="A2" s="35"/>
    </row>
    <row r="3">
      <c r="A3" s="34" t="s">
        <v>171</v>
      </c>
      <c r="B3" s="31">
        <v>75.0</v>
      </c>
    </row>
    <row r="4">
      <c r="A4" s="34" t="s">
        <v>172</v>
      </c>
      <c r="B4" s="31">
        <v>200.0</v>
      </c>
    </row>
    <row r="5">
      <c r="A5" s="34" t="s">
        <v>173</v>
      </c>
      <c r="B5" s="31">
        <v>12.0</v>
      </c>
    </row>
    <row r="6">
      <c r="A6" s="34"/>
    </row>
    <row r="7">
      <c r="A7" s="34" t="s">
        <v>174</v>
      </c>
      <c r="B7" s="32">
        <f>B4-B3</f>
        <v>125</v>
      </c>
    </row>
    <row r="8">
      <c r="A8" s="34" t="s">
        <v>176</v>
      </c>
      <c r="B8" s="32">
        <f>ROUND(B7/B5,0)</f>
        <v>10</v>
      </c>
    </row>
    <row r="9">
      <c r="A9" s="34" t="s">
        <v>177</v>
      </c>
      <c r="B9" s="32">
        <f>ROUND(B8 * 2/3,0)</f>
        <v>7</v>
      </c>
    </row>
    <row r="10">
      <c r="A10" s="34" t="s">
        <v>179</v>
      </c>
      <c r="B10" s="32">
        <f>ROUND(B8 * 4/3,0)</f>
        <v>13</v>
      </c>
    </row>
    <row r="11">
      <c r="A11" s="35"/>
    </row>
    <row r="12">
      <c r="A12" s="35"/>
    </row>
    <row r="13">
      <c r="A13" s="35"/>
    </row>
    <row r="14">
      <c r="A14" s="35"/>
    </row>
    <row r="15">
      <c r="A15" s="35"/>
    </row>
    <row r="16">
      <c r="A16" s="35"/>
    </row>
    <row r="17">
      <c r="A17" s="35"/>
    </row>
    <row r="18">
      <c r="A18" s="35"/>
    </row>
    <row r="19">
      <c r="A19" s="35"/>
    </row>
    <row r="20">
      <c r="A20" s="35"/>
    </row>
    <row r="21">
      <c r="A21" s="35"/>
    </row>
    <row r="22">
      <c r="A22" s="35"/>
    </row>
    <row r="23">
      <c r="A23" s="35"/>
    </row>
    <row r="24">
      <c r="A24" s="35"/>
    </row>
    <row r="25">
      <c r="A25" s="35"/>
    </row>
    <row r="26">
      <c r="A26" s="35"/>
    </row>
    <row r="27">
      <c r="A27" s="35"/>
    </row>
    <row r="28">
      <c r="A28" s="35"/>
    </row>
    <row r="29">
      <c r="A29" s="35"/>
    </row>
    <row r="30">
      <c r="A30" s="35"/>
    </row>
    <row r="31">
      <c r="A31" s="35"/>
    </row>
    <row r="32">
      <c r="A32" s="35"/>
    </row>
    <row r="33">
      <c r="A33" s="35"/>
    </row>
    <row r="34">
      <c r="A34" s="35"/>
    </row>
    <row r="35">
      <c r="A35" s="35"/>
    </row>
    <row r="36">
      <c r="A36" s="35"/>
    </row>
    <row r="37">
      <c r="A37" s="35"/>
    </row>
    <row r="38">
      <c r="A38" s="35"/>
    </row>
    <row r="39">
      <c r="A39" s="35"/>
    </row>
    <row r="40">
      <c r="A40" s="35"/>
    </row>
    <row r="41">
      <c r="A41" s="35"/>
    </row>
    <row r="42">
      <c r="A42" s="35"/>
    </row>
    <row r="43">
      <c r="A43" s="35"/>
    </row>
    <row r="44">
      <c r="A44" s="35"/>
    </row>
    <row r="45">
      <c r="A45" s="35"/>
    </row>
    <row r="46">
      <c r="A46" s="35"/>
    </row>
    <row r="47">
      <c r="A47" s="35"/>
    </row>
    <row r="48">
      <c r="A48" s="35"/>
    </row>
    <row r="49">
      <c r="A49" s="35"/>
    </row>
    <row r="50">
      <c r="A50" s="35"/>
    </row>
    <row r="51">
      <c r="A51" s="35"/>
    </row>
    <row r="52">
      <c r="A52" s="35"/>
    </row>
    <row r="53">
      <c r="A53" s="35"/>
    </row>
    <row r="54">
      <c r="A54" s="35"/>
    </row>
    <row r="55">
      <c r="A55" s="35"/>
    </row>
    <row r="56">
      <c r="A56" s="35"/>
    </row>
    <row r="57">
      <c r="A57" s="35"/>
    </row>
    <row r="58">
      <c r="A58" s="35"/>
    </row>
    <row r="59">
      <c r="A59" s="35"/>
    </row>
    <row r="60">
      <c r="A60" s="35"/>
    </row>
    <row r="61">
      <c r="A61" s="35"/>
    </row>
    <row r="62">
      <c r="A62" s="35"/>
    </row>
    <row r="63">
      <c r="A63" s="35"/>
    </row>
    <row r="64">
      <c r="A64" s="35"/>
    </row>
    <row r="65">
      <c r="A65" s="35"/>
    </row>
    <row r="66">
      <c r="A66" s="35"/>
    </row>
    <row r="67">
      <c r="A67" s="35"/>
    </row>
    <row r="68">
      <c r="A68" s="35"/>
    </row>
    <row r="69">
      <c r="A69" s="35"/>
    </row>
    <row r="70">
      <c r="A70" s="35"/>
    </row>
    <row r="71">
      <c r="A71" s="35"/>
    </row>
    <row r="72">
      <c r="A72" s="35"/>
    </row>
    <row r="73">
      <c r="A73" s="35"/>
    </row>
    <row r="74">
      <c r="A74" s="35"/>
    </row>
    <row r="75">
      <c r="A75" s="35"/>
    </row>
    <row r="76">
      <c r="A76" s="35"/>
    </row>
    <row r="77">
      <c r="A77" s="35"/>
    </row>
    <row r="78">
      <c r="A78" s="35"/>
    </row>
    <row r="79">
      <c r="A79" s="35"/>
    </row>
    <row r="80">
      <c r="A80" s="35"/>
    </row>
    <row r="81">
      <c r="A81" s="35"/>
    </row>
    <row r="82">
      <c r="A82" s="35"/>
    </row>
    <row r="83">
      <c r="A83" s="35"/>
    </row>
    <row r="84">
      <c r="A84" s="35"/>
    </row>
    <row r="85">
      <c r="A85" s="35"/>
    </row>
    <row r="86">
      <c r="A86" s="35"/>
    </row>
    <row r="87">
      <c r="A87" s="35"/>
    </row>
    <row r="88">
      <c r="A88" s="35"/>
    </row>
    <row r="89">
      <c r="A89" s="35"/>
    </row>
    <row r="90">
      <c r="A90" s="35"/>
    </row>
    <row r="91">
      <c r="A91" s="35"/>
    </row>
    <row r="92">
      <c r="A92" s="35"/>
    </row>
    <row r="93">
      <c r="A93" s="35"/>
    </row>
    <row r="94">
      <c r="A94" s="35"/>
    </row>
    <row r="95">
      <c r="A95" s="35"/>
    </row>
    <row r="96">
      <c r="A96" s="35"/>
    </row>
    <row r="97">
      <c r="A97" s="35"/>
    </row>
    <row r="98">
      <c r="A98" s="35"/>
    </row>
    <row r="99">
      <c r="A99" s="35"/>
    </row>
    <row r="100">
      <c r="A100" s="35"/>
    </row>
    <row r="101">
      <c r="A101" s="35"/>
    </row>
    <row r="102">
      <c r="A102" s="35"/>
    </row>
    <row r="103">
      <c r="A103" s="35"/>
    </row>
    <row r="104">
      <c r="A104" s="35"/>
    </row>
    <row r="105">
      <c r="A105" s="35"/>
    </row>
    <row r="106">
      <c r="A106" s="35"/>
    </row>
    <row r="107">
      <c r="A107" s="35"/>
    </row>
    <row r="108">
      <c r="A108" s="35"/>
    </row>
    <row r="109">
      <c r="A109" s="35"/>
    </row>
    <row r="110">
      <c r="A110" s="35"/>
    </row>
    <row r="111">
      <c r="A111" s="35"/>
    </row>
    <row r="112">
      <c r="A112" s="35"/>
    </row>
    <row r="113">
      <c r="A113" s="35"/>
    </row>
    <row r="114">
      <c r="A114" s="35"/>
    </row>
    <row r="115">
      <c r="A115" s="35"/>
    </row>
    <row r="116">
      <c r="A116" s="35"/>
    </row>
    <row r="117">
      <c r="A117" s="35"/>
    </row>
    <row r="118">
      <c r="A118" s="35"/>
    </row>
    <row r="119">
      <c r="A119" s="35"/>
    </row>
    <row r="120">
      <c r="A120" s="35"/>
    </row>
    <row r="121">
      <c r="A121" s="35"/>
    </row>
    <row r="122">
      <c r="A122" s="35"/>
    </row>
    <row r="123">
      <c r="A123" s="35"/>
    </row>
    <row r="124">
      <c r="A124" s="35"/>
    </row>
    <row r="125">
      <c r="A125" s="35"/>
    </row>
    <row r="126">
      <c r="A126" s="35"/>
    </row>
    <row r="127">
      <c r="A127" s="35"/>
    </row>
    <row r="128">
      <c r="A128" s="35"/>
    </row>
    <row r="129">
      <c r="A129" s="35"/>
    </row>
    <row r="130">
      <c r="A130" s="35"/>
    </row>
    <row r="131">
      <c r="A131" s="35"/>
    </row>
    <row r="132">
      <c r="A132" s="35"/>
    </row>
    <row r="133">
      <c r="A133" s="35"/>
    </row>
    <row r="134">
      <c r="A134" s="35"/>
    </row>
    <row r="135">
      <c r="A135" s="35"/>
    </row>
    <row r="136">
      <c r="A136" s="35"/>
    </row>
    <row r="137">
      <c r="A137" s="35"/>
    </row>
    <row r="138">
      <c r="A138" s="35"/>
    </row>
    <row r="139">
      <c r="A139" s="35"/>
    </row>
    <row r="140">
      <c r="A140" s="35"/>
    </row>
    <row r="141">
      <c r="A141" s="35"/>
    </row>
    <row r="142">
      <c r="A142" s="35"/>
    </row>
    <row r="143">
      <c r="A143" s="35"/>
    </row>
    <row r="144">
      <c r="A144" s="35"/>
    </row>
    <row r="145">
      <c r="A145" s="35"/>
    </row>
    <row r="146">
      <c r="A146" s="35"/>
    </row>
    <row r="147">
      <c r="A147" s="35"/>
    </row>
    <row r="148">
      <c r="A148" s="35"/>
    </row>
    <row r="149">
      <c r="A149" s="35"/>
    </row>
    <row r="150">
      <c r="A150" s="35"/>
    </row>
    <row r="151">
      <c r="A151" s="35"/>
    </row>
    <row r="152">
      <c r="A152" s="35"/>
    </row>
    <row r="153">
      <c r="A153" s="35"/>
    </row>
    <row r="154">
      <c r="A154" s="35"/>
    </row>
    <row r="155">
      <c r="A155" s="35"/>
    </row>
    <row r="156">
      <c r="A156" s="35"/>
    </row>
    <row r="157">
      <c r="A157" s="35"/>
    </row>
    <row r="158">
      <c r="A158" s="35"/>
    </row>
    <row r="159">
      <c r="A159" s="35"/>
    </row>
    <row r="160">
      <c r="A160" s="35"/>
    </row>
    <row r="161">
      <c r="A161" s="35"/>
    </row>
    <row r="162">
      <c r="A162" s="35"/>
    </row>
    <row r="163">
      <c r="A163" s="35"/>
    </row>
    <row r="164">
      <c r="A164" s="35"/>
    </row>
    <row r="165">
      <c r="A165" s="35"/>
    </row>
    <row r="166">
      <c r="A166" s="35"/>
    </row>
    <row r="167">
      <c r="A167" s="35"/>
    </row>
    <row r="168">
      <c r="A168" s="35"/>
    </row>
    <row r="169">
      <c r="A169" s="35"/>
    </row>
    <row r="170">
      <c r="A170" s="35"/>
    </row>
    <row r="171">
      <c r="A171" s="35"/>
    </row>
    <row r="172">
      <c r="A172" s="35"/>
    </row>
    <row r="173">
      <c r="A173" s="35"/>
    </row>
    <row r="174">
      <c r="A174" s="35"/>
    </row>
    <row r="175">
      <c r="A175" s="35"/>
    </row>
    <row r="176">
      <c r="A176" s="35"/>
    </row>
    <row r="177">
      <c r="A177" s="35"/>
    </row>
    <row r="178">
      <c r="A178" s="35"/>
    </row>
    <row r="179">
      <c r="A179" s="35"/>
    </row>
    <row r="180">
      <c r="A180" s="35"/>
    </row>
    <row r="181">
      <c r="A181" s="35"/>
    </row>
    <row r="182">
      <c r="A182" s="35"/>
    </row>
    <row r="183">
      <c r="A183" s="35"/>
    </row>
    <row r="184">
      <c r="A184" s="35"/>
    </row>
    <row r="185">
      <c r="A185" s="35"/>
    </row>
    <row r="186">
      <c r="A186" s="35"/>
    </row>
    <row r="187">
      <c r="A187" s="35"/>
    </row>
    <row r="188">
      <c r="A188" s="35"/>
    </row>
    <row r="189">
      <c r="A189" s="35"/>
    </row>
    <row r="190">
      <c r="A190" s="35"/>
    </row>
    <row r="191">
      <c r="A191" s="35"/>
    </row>
    <row r="192">
      <c r="A192" s="35"/>
    </row>
    <row r="193">
      <c r="A193" s="35"/>
    </row>
    <row r="194">
      <c r="A194" s="35"/>
    </row>
    <row r="195">
      <c r="A195" s="35"/>
    </row>
    <row r="196">
      <c r="A196" s="35"/>
    </row>
    <row r="197">
      <c r="A197" s="35"/>
    </row>
    <row r="198">
      <c r="A198" s="35"/>
    </row>
    <row r="199">
      <c r="A199" s="35"/>
    </row>
    <row r="200">
      <c r="A200" s="35"/>
    </row>
    <row r="201">
      <c r="A201" s="35"/>
    </row>
    <row r="202">
      <c r="A202" s="35"/>
    </row>
    <row r="203">
      <c r="A203" s="35"/>
    </row>
    <row r="204">
      <c r="A204" s="35"/>
    </row>
    <row r="205">
      <c r="A205" s="35"/>
    </row>
    <row r="206">
      <c r="A206" s="35"/>
    </row>
    <row r="207">
      <c r="A207" s="35"/>
    </row>
    <row r="208">
      <c r="A208" s="35"/>
    </row>
    <row r="209">
      <c r="A209" s="35"/>
    </row>
    <row r="210">
      <c r="A210" s="35"/>
    </row>
    <row r="211">
      <c r="A211" s="35"/>
    </row>
    <row r="212">
      <c r="A212" s="35"/>
    </row>
    <row r="213">
      <c r="A213" s="35"/>
    </row>
    <row r="214">
      <c r="A214" s="35"/>
    </row>
    <row r="215">
      <c r="A215" s="35"/>
    </row>
    <row r="216">
      <c r="A216" s="35"/>
    </row>
    <row r="217">
      <c r="A217" s="35"/>
    </row>
    <row r="218">
      <c r="A218" s="35"/>
    </row>
    <row r="219">
      <c r="A219" s="35"/>
    </row>
    <row r="220">
      <c r="A220" s="35"/>
    </row>
    <row r="221">
      <c r="A221" s="35"/>
    </row>
    <row r="222">
      <c r="A222" s="35"/>
    </row>
    <row r="223">
      <c r="A223" s="35"/>
    </row>
    <row r="224">
      <c r="A224" s="35"/>
    </row>
    <row r="225">
      <c r="A225" s="35"/>
    </row>
    <row r="226">
      <c r="A226" s="35"/>
    </row>
    <row r="227">
      <c r="A227" s="35"/>
    </row>
    <row r="228">
      <c r="A228" s="35"/>
    </row>
    <row r="229">
      <c r="A229" s="35"/>
    </row>
    <row r="230">
      <c r="A230" s="35"/>
    </row>
    <row r="231">
      <c r="A231" s="35"/>
    </row>
    <row r="232">
      <c r="A232" s="35"/>
    </row>
    <row r="233">
      <c r="A233" s="35"/>
    </row>
    <row r="234">
      <c r="A234" s="35"/>
    </row>
    <row r="235">
      <c r="A235" s="35"/>
    </row>
    <row r="236">
      <c r="A236" s="35"/>
    </row>
    <row r="237">
      <c r="A237" s="35"/>
    </row>
    <row r="238">
      <c r="A238" s="35"/>
    </row>
    <row r="239">
      <c r="A239" s="35"/>
    </row>
    <row r="240">
      <c r="A240" s="35"/>
    </row>
    <row r="241">
      <c r="A241" s="35"/>
    </row>
    <row r="242">
      <c r="A242" s="35"/>
    </row>
    <row r="243">
      <c r="A243" s="35"/>
    </row>
    <row r="244">
      <c r="A244" s="35"/>
    </row>
    <row r="245">
      <c r="A245" s="35"/>
    </row>
    <row r="246">
      <c r="A246" s="35"/>
    </row>
    <row r="247">
      <c r="A247" s="35"/>
    </row>
    <row r="248">
      <c r="A248" s="35"/>
    </row>
    <row r="249">
      <c r="A249" s="35"/>
    </row>
    <row r="250">
      <c r="A250" s="35"/>
    </row>
    <row r="251">
      <c r="A251" s="35"/>
    </row>
    <row r="252">
      <c r="A252" s="35"/>
    </row>
    <row r="253">
      <c r="A253" s="35"/>
    </row>
    <row r="254">
      <c r="A254" s="35"/>
    </row>
    <row r="255">
      <c r="A255" s="35"/>
    </row>
    <row r="256">
      <c r="A256" s="35"/>
    </row>
    <row r="257">
      <c r="A257" s="35"/>
    </row>
    <row r="258">
      <c r="A258" s="35"/>
    </row>
    <row r="259">
      <c r="A259" s="35"/>
    </row>
    <row r="260">
      <c r="A260" s="35"/>
    </row>
    <row r="261">
      <c r="A261" s="35"/>
    </row>
    <row r="262">
      <c r="A262" s="35"/>
    </row>
    <row r="263">
      <c r="A263" s="35"/>
    </row>
    <row r="264">
      <c r="A264" s="35"/>
    </row>
    <row r="265">
      <c r="A265" s="35"/>
    </row>
    <row r="266">
      <c r="A266" s="35"/>
    </row>
    <row r="267">
      <c r="A267" s="35"/>
    </row>
    <row r="268">
      <c r="A268" s="35"/>
    </row>
    <row r="269">
      <c r="A269" s="35"/>
    </row>
    <row r="270">
      <c r="A270" s="35"/>
    </row>
    <row r="271">
      <c r="A271" s="35"/>
    </row>
    <row r="272">
      <c r="A272" s="35"/>
    </row>
    <row r="273">
      <c r="A273" s="35"/>
    </row>
    <row r="274">
      <c r="A274" s="35"/>
    </row>
    <row r="275">
      <c r="A275" s="35"/>
    </row>
    <row r="276">
      <c r="A276" s="35"/>
    </row>
    <row r="277">
      <c r="A277" s="35"/>
    </row>
    <row r="278">
      <c r="A278" s="35"/>
    </row>
    <row r="279">
      <c r="A279" s="35"/>
    </row>
    <row r="280">
      <c r="A280" s="35"/>
    </row>
    <row r="281">
      <c r="A281" s="35"/>
    </row>
    <row r="282">
      <c r="A282" s="35"/>
    </row>
    <row r="283">
      <c r="A283" s="35"/>
    </row>
    <row r="284">
      <c r="A284" s="35"/>
    </row>
    <row r="285">
      <c r="A285" s="35"/>
    </row>
    <row r="286">
      <c r="A286" s="35"/>
    </row>
    <row r="287">
      <c r="A287" s="35"/>
    </row>
    <row r="288">
      <c r="A288" s="35"/>
    </row>
    <row r="289">
      <c r="A289" s="35"/>
    </row>
    <row r="290">
      <c r="A290" s="35"/>
    </row>
    <row r="291">
      <c r="A291" s="35"/>
    </row>
    <row r="292">
      <c r="A292" s="35"/>
    </row>
    <row r="293">
      <c r="A293" s="35"/>
    </row>
    <row r="294">
      <c r="A294" s="35"/>
    </row>
    <row r="295">
      <c r="A295" s="35"/>
    </row>
    <row r="296">
      <c r="A296" s="35"/>
    </row>
    <row r="297">
      <c r="A297" s="35"/>
    </row>
    <row r="298">
      <c r="A298" s="35"/>
    </row>
    <row r="299">
      <c r="A299" s="35"/>
    </row>
    <row r="300">
      <c r="A300" s="35"/>
    </row>
    <row r="301">
      <c r="A301" s="35"/>
    </row>
    <row r="302">
      <c r="A302" s="35"/>
    </row>
    <row r="303">
      <c r="A303" s="35"/>
    </row>
    <row r="304">
      <c r="A304" s="35"/>
    </row>
    <row r="305">
      <c r="A305" s="35"/>
    </row>
    <row r="306">
      <c r="A306" s="35"/>
    </row>
    <row r="307">
      <c r="A307" s="35"/>
    </row>
    <row r="308">
      <c r="A308" s="35"/>
    </row>
    <row r="309">
      <c r="A309" s="35"/>
    </row>
    <row r="310">
      <c r="A310" s="35"/>
    </row>
    <row r="311">
      <c r="A311" s="35"/>
    </row>
    <row r="312">
      <c r="A312" s="35"/>
    </row>
    <row r="313">
      <c r="A313" s="35"/>
    </row>
    <row r="314">
      <c r="A314" s="35"/>
    </row>
    <row r="315">
      <c r="A315" s="35"/>
    </row>
    <row r="316">
      <c r="A316" s="35"/>
    </row>
    <row r="317">
      <c r="A317" s="35"/>
    </row>
    <row r="318">
      <c r="A318" s="35"/>
    </row>
    <row r="319">
      <c r="A319" s="35"/>
    </row>
    <row r="320">
      <c r="A320" s="35"/>
    </row>
    <row r="321">
      <c r="A321" s="35"/>
    </row>
    <row r="322">
      <c r="A322" s="35"/>
    </row>
    <row r="323">
      <c r="A323" s="35"/>
    </row>
    <row r="324">
      <c r="A324" s="35"/>
    </row>
    <row r="325">
      <c r="A325" s="35"/>
    </row>
    <row r="326">
      <c r="A326" s="35"/>
    </row>
    <row r="327">
      <c r="A327" s="35"/>
    </row>
    <row r="328">
      <c r="A328" s="35"/>
    </row>
    <row r="329">
      <c r="A329" s="35"/>
    </row>
    <row r="330">
      <c r="A330" s="35"/>
    </row>
    <row r="331">
      <c r="A331" s="35"/>
    </row>
    <row r="332">
      <c r="A332" s="35"/>
    </row>
    <row r="333">
      <c r="A333" s="35"/>
    </row>
    <row r="334">
      <c r="A334" s="35"/>
    </row>
    <row r="335">
      <c r="A335" s="35"/>
    </row>
    <row r="336">
      <c r="A336" s="35"/>
    </row>
    <row r="337">
      <c r="A337" s="35"/>
    </row>
    <row r="338">
      <c r="A338" s="35"/>
    </row>
    <row r="339">
      <c r="A339" s="35"/>
    </row>
    <row r="340">
      <c r="A340" s="35"/>
    </row>
    <row r="341">
      <c r="A341" s="35"/>
    </row>
    <row r="342">
      <c r="A342" s="35"/>
    </row>
    <row r="343">
      <c r="A343" s="35"/>
    </row>
    <row r="344">
      <c r="A344" s="35"/>
    </row>
    <row r="345">
      <c r="A345" s="35"/>
    </row>
    <row r="346">
      <c r="A346" s="35"/>
    </row>
    <row r="347">
      <c r="A347" s="35"/>
    </row>
    <row r="348">
      <c r="A348" s="35"/>
    </row>
    <row r="349">
      <c r="A349" s="35"/>
    </row>
    <row r="350">
      <c r="A350" s="35"/>
    </row>
    <row r="351">
      <c r="A351" s="35"/>
    </row>
    <row r="352">
      <c r="A352" s="35"/>
    </row>
    <row r="353">
      <c r="A353" s="35"/>
    </row>
    <row r="354">
      <c r="A354" s="35"/>
    </row>
    <row r="355">
      <c r="A355" s="35"/>
    </row>
    <row r="356">
      <c r="A356" s="35"/>
    </row>
    <row r="357">
      <c r="A357" s="35"/>
    </row>
    <row r="358">
      <c r="A358" s="35"/>
    </row>
    <row r="359">
      <c r="A359" s="35"/>
    </row>
    <row r="360">
      <c r="A360" s="35"/>
    </row>
    <row r="361">
      <c r="A361" s="35"/>
    </row>
    <row r="362">
      <c r="A362" s="35"/>
    </row>
    <row r="363">
      <c r="A363" s="35"/>
    </row>
    <row r="364">
      <c r="A364" s="35"/>
    </row>
    <row r="365">
      <c r="A365" s="35"/>
    </row>
    <row r="366">
      <c r="A366" s="35"/>
    </row>
    <row r="367">
      <c r="A367" s="35"/>
    </row>
    <row r="368">
      <c r="A368" s="35"/>
    </row>
    <row r="369">
      <c r="A369" s="35"/>
    </row>
    <row r="370">
      <c r="A370" s="35"/>
    </row>
    <row r="371">
      <c r="A371" s="35"/>
    </row>
    <row r="372">
      <c r="A372" s="35"/>
    </row>
    <row r="373">
      <c r="A373" s="35"/>
    </row>
    <row r="374">
      <c r="A374" s="35"/>
    </row>
    <row r="375">
      <c r="A375" s="35"/>
    </row>
    <row r="376">
      <c r="A376" s="35"/>
    </row>
    <row r="377">
      <c r="A377" s="35"/>
    </row>
    <row r="378">
      <c r="A378" s="35"/>
    </row>
    <row r="379">
      <c r="A379" s="35"/>
    </row>
    <row r="380">
      <c r="A380" s="35"/>
    </row>
    <row r="381">
      <c r="A381" s="35"/>
    </row>
    <row r="382">
      <c r="A382" s="35"/>
    </row>
    <row r="383">
      <c r="A383" s="35"/>
    </row>
    <row r="384">
      <c r="A384" s="35"/>
    </row>
    <row r="385">
      <c r="A385" s="35"/>
    </row>
    <row r="386">
      <c r="A386" s="35"/>
    </row>
    <row r="387">
      <c r="A387" s="35"/>
    </row>
    <row r="388">
      <c r="A388" s="35"/>
    </row>
    <row r="389">
      <c r="A389" s="35"/>
    </row>
    <row r="390">
      <c r="A390" s="35"/>
    </row>
    <row r="391">
      <c r="A391" s="35"/>
    </row>
    <row r="392">
      <c r="A392" s="35"/>
    </row>
    <row r="393">
      <c r="A393" s="35"/>
    </row>
    <row r="394">
      <c r="A394" s="35"/>
    </row>
    <row r="395">
      <c r="A395" s="35"/>
    </row>
    <row r="396">
      <c r="A396" s="35"/>
    </row>
    <row r="397">
      <c r="A397" s="35"/>
    </row>
    <row r="398">
      <c r="A398" s="35"/>
    </row>
    <row r="399">
      <c r="A399" s="35"/>
    </row>
    <row r="400">
      <c r="A400" s="35"/>
    </row>
    <row r="401">
      <c r="A401" s="35"/>
    </row>
    <row r="402">
      <c r="A402" s="35"/>
    </row>
    <row r="403">
      <c r="A403" s="35"/>
    </row>
    <row r="404">
      <c r="A404" s="35"/>
    </row>
    <row r="405">
      <c r="A405" s="35"/>
    </row>
    <row r="406">
      <c r="A406" s="35"/>
    </row>
    <row r="407">
      <c r="A407" s="35"/>
    </row>
    <row r="408">
      <c r="A408" s="35"/>
    </row>
    <row r="409">
      <c r="A409" s="35"/>
    </row>
    <row r="410">
      <c r="A410" s="35"/>
    </row>
    <row r="411">
      <c r="A411" s="35"/>
    </row>
    <row r="412">
      <c r="A412" s="35"/>
    </row>
    <row r="413">
      <c r="A413" s="35"/>
    </row>
    <row r="414">
      <c r="A414" s="35"/>
    </row>
    <row r="415">
      <c r="A415" s="35"/>
    </row>
    <row r="416">
      <c r="A416" s="35"/>
    </row>
    <row r="417">
      <c r="A417" s="35"/>
    </row>
    <row r="418">
      <c r="A418" s="35"/>
    </row>
    <row r="419">
      <c r="A419" s="35"/>
    </row>
    <row r="420">
      <c r="A420" s="35"/>
    </row>
    <row r="421">
      <c r="A421" s="35"/>
    </row>
    <row r="422">
      <c r="A422" s="35"/>
    </row>
    <row r="423">
      <c r="A423" s="35"/>
    </row>
    <row r="424">
      <c r="A424" s="35"/>
    </row>
    <row r="425">
      <c r="A425" s="35"/>
    </row>
    <row r="426">
      <c r="A426" s="35"/>
    </row>
    <row r="427">
      <c r="A427" s="35"/>
    </row>
    <row r="428">
      <c r="A428" s="35"/>
    </row>
    <row r="429">
      <c r="A429" s="35"/>
    </row>
    <row r="430">
      <c r="A430" s="35"/>
    </row>
    <row r="431">
      <c r="A431" s="35"/>
    </row>
    <row r="432">
      <c r="A432" s="35"/>
    </row>
    <row r="433">
      <c r="A433" s="35"/>
    </row>
    <row r="434">
      <c r="A434" s="35"/>
    </row>
    <row r="435">
      <c r="A435" s="35"/>
    </row>
    <row r="436">
      <c r="A436" s="35"/>
    </row>
    <row r="437">
      <c r="A437" s="35"/>
    </row>
    <row r="438">
      <c r="A438" s="35"/>
    </row>
    <row r="439">
      <c r="A439" s="35"/>
    </row>
    <row r="440">
      <c r="A440" s="35"/>
    </row>
    <row r="441">
      <c r="A441" s="35"/>
    </row>
    <row r="442">
      <c r="A442" s="35"/>
    </row>
    <row r="443">
      <c r="A443" s="35"/>
    </row>
    <row r="444">
      <c r="A444" s="35"/>
    </row>
    <row r="445">
      <c r="A445" s="35"/>
    </row>
    <row r="446">
      <c r="A446" s="35"/>
    </row>
    <row r="447">
      <c r="A447" s="35"/>
    </row>
    <row r="448">
      <c r="A448" s="35"/>
    </row>
    <row r="449">
      <c r="A449" s="35"/>
    </row>
    <row r="450">
      <c r="A450" s="35"/>
    </row>
    <row r="451">
      <c r="A451" s="35"/>
    </row>
    <row r="452">
      <c r="A452" s="35"/>
    </row>
    <row r="453">
      <c r="A453" s="35"/>
    </row>
    <row r="454">
      <c r="A454" s="35"/>
    </row>
    <row r="455">
      <c r="A455" s="35"/>
    </row>
    <row r="456">
      <c r="A456" s="35"/>
    </row>
    <row r="457">
      <c r="A457" s="35"/>
    </row>
    <row r="458">
      <c r="A458" s="35"/>
    </row>
    <row r="459">
      <c r="A459" s="35"/>
    </row>
    <row r="460">
      <c r="A460" s="35"/>
    </row>
    <row r="461">
      <c r="A461" s="35"/>
    </row>
    <row r="462">
      <c r="A462" s="35"/>
    </row>
    <row r="463">
      <c r="A463" s="35"/>
    </row>
    <row r="464">
      <c r="A464" s="35"/>
    </row>
    <row r="465">
      <c r="A465" s="35"/>
    </row>
    <row r="466">
      <c r="A466" s="35"/>
    </row>
    <row r="467">
      <c r="A467" s="35"/>
    </row>
    <row r="468">
      <c r="A468" s="35"/>
    </row>
    <row r="469">
      <c r="A469" s="35"/>
    </row>
    <row r="470">
      <c r="A470" s="35"/>
    </row>
    <row r="471">
      <c r="A471" s="35"/>
    </row>
    <row r="472">
      <c r="A472" s="35"/>
    </row>
    <row r="473">
      <c r="A473" s="35"/>
    </row>
    <row r="474">
      <c r="A474" s="35"/>
    </row>
    <row r="475">
      <c r="A475" s="35"/>
    </row>
    <row r="476">
      <c r="A476" s="35"/>
    </row>
    <row r="477">
      <c r="A477" s="35"/>
    </row>
    <row r="478">
      <c r="A478" s="35"/>
    </row>
    <row r="479">
      <c r="A479" s="35"/>
    </row>
    <row r="480">
      <c r="A480" s="35"/>
    </row>
    <row r="481">
      <c r="A481" s="35"/>
    </row>
    <row r="482">
      <c r="A482" s="35"/>
    </row>
    <row r="483">
      <c r="A483" s="35"/>
    </row>
    <row r="484">
      <c r="A484" s="35"/>
    </row>
    <row r="485">
      <c r="A485" s="35"/>
    </row>
    <row r="486">
      <c r="A486" s="35"/>
    </row>
    <row r="487">
      <c r="A487" s="35"/>
    </row>
    <row r="488">
      <c r="A488" s="35"/>
    </row>
    <row r="489">
      <c r="A489" s="35"/>
    </row>
    <row r="490">
      <c r="A490" s="35"/>
    </row>
    <row r="491">
      <c r="A491" s="35"/>
    </row>
    <row r="492">
      <c r="A492" s="35"/>
    </row>
    <row r="493">
      <c r="A493" s="35"/>
    </row>
    <row r="494">
      <c r="A494" s="35"/>
    </row>
    <row r="495">
      <c r="A495" s="35"/>
    </row>
    <row r="496">
      <c r="A496" s="35"/>
    </row>
    <row r="497">
      <c r="A497" s="35"/>
    </row>
    <row r="498">
      <c r="A498" s="35"/>
    </row>
    <row r="499">
      <c r="A499" s="35"/>
    </row>
    <row r="500">
      <c r="A500" s="35"/>
    </row>
    <row r="501">
      <c r="A501" s="35"/>
    </row>
    <row r="502">
      <c r="A502" s="35"/>
    </row>
    <row r="503">
      <c r="A503" s="35"/>
    </row>
    <row r="504">
      <c r="A504" s="35"/>
    </row>
    <row r="505">
      <c r="A505" s="35"/>
    </row>
    <row r="506">
      <c r="A506" s="35"/>
    </row>
    <row r="507">
      <c r="A507" s="35"/>
    </row>
    <row r="508">
      <c r="A508" s="35"/>
    </row>
    <row r="509">
      <c r="A509" s="35"/>
    </row>
    <row r="510">
      <c r="A510" s="35"/>
    </row>
    <row r="511">
      <c r="A511" s="35"/>
    </row>
    <row r="512">
      <c r="A512" s="35"/>
    </row>
    <row r="513">
      <c r="A513" s="35"/>
    </row>
    <row r="514">
      <c r="A514" s="35"/>
    </row>
    <row r="515">
      <c r="A515" s="35"/>
    </row>
    <row r="516">
      <c r="A516" s="35"/>
    </row>
    <row r="517">
      <c r="A517" s="35"/>
    </row>
    <row r="518">
      <c r="A518" s="35"/>
    </row>
    <row r="519">
      <c r="A519" s="35"/>
    </row>
    <row r="520">
      <c r="A520" s="35"/>
    </row>
    <row r="521">
      <c r="A521" s="35"/>
    </row>
    <row r="522">
      <c r="A522" s="35"/>
    </row>
    <row r="523">
      <c r="A523" s="35"/>
    </row>
    <row r="524">
      <c r="A524" s="35"/>
    </row>
    <row r="525">
      <c r="A525" s="35"/>
    </row>
    <row r="526">
      <c r="A526" s="35"/>
    </row>
    <row r="527">
      <c r="A527" s="35"/>
    </row>
    <row r="528">
      <c r="A528" s="35"/>
    </row>
    <row r="529">
      <c r="A529" s="35"/>
    </row>
    <row r="530">
      <c r="A530" s="35"/>
    </row>
    <row r="531">
      <c r="A531" s="35"/>
    </row>
    <row r="532">
      <c r="A532" s="35"/>
    </row>
    <row r="533">
      <c r="A533" s="35"/>
    </row>
    <row r="534">
      <c r="A534" s="35"/>
    </row>
    <row r="535">
      <c r="A535" s="35"/>
    </row>
    <row r="536">
      <c r="A536" s="35"/>
    </row>
    <row r="537">
      <c r="A537" s="35"/>
    </row>
    <row r="538">
      <c r="A538" s="35"/>
    </row>
    <row r="539">
      <c r="A539" s="35"/>
    </row>
    <row r="540">
      <c r="A540" s="35"/>
    </row>
    <row r="541">
      <c r="A541" s="35"/>
    </row>
    <row r="542">
      <c r="A542" s="35"/>
    </row>
    <row r="543">
      <c r="A543" s="35"/>
    </row>
    <row r="544">
      <c r="A544" s="35"/>
    </row>
    <row r="545">
      <c r="A545" s="35"/>
    </row>
    <row r="546">
      <c r="A546" s="35"/>
    </row>
    <row r="547">
      <c r="A547" s="35"/>
    </row>
    <row r="548">
      <c r="A548" s="35"/>
    </row>
    <row r="549">
      <c r="A549" s="35"/>
    </row>
    <row r="550">
      <c r="A550" s="35"/>
    </row>
    <row r="551">
      <c r="A551" s="35"/>
    </row>
    <row r="552">
      <c r="A552" s="35"/>
    </row>
    <row r="553">
      <c r="A553" s="35"/>
    </row>
    <row r="554">
      <c r="A554" s="35"/>
    </row>
    <row r="555">
      <c r="A555" s="35"/>
    </row>
    <row r="556">
      <c r="A556" s="35"/>
    </row>
    <row r="557">
      <c r="A557" s="35"/>
    </row>
    <row r="558">
      <c r="A558" s="35"/>
    </row>
    <row r="559">
      <c r="A559" s="35"/>
    </row>
    <row r="560">
      <c r="A560" s="35"/>
    </row>
    <row r="561">
      <c r="A561" s="35"/>
    </row>
    <row r="562">
      <c r="A562" s="35"/>
    </row>
    <row r="563">
      <c r="A563" s="35"/>
    </row>
    <row r="564">
      <c r="A564" s="35"/>
    </row>
    <row r="565">
      <c r="A565" s="35"/>
    </row>
    <row r="566">
      <c r="A566" s="35"/>
    </row>
    <row r="567">
      <c r="A567" s="35"/>
    </row>
    <row r="568">
      <c r="A568" s="35"/>
    </row>
    <row r="569">
      <c r="A569" s="35"/>
    </row>
    <row r="570">
      <c r="A570" s="35"/>
    </row>
    <row r="571">
      <c r="A571" s="35"/>
    </row>
    <row r="572">
      <c r="A572" s="35"/>
    </row>
    <row r="573">
      <c r="A573" s="35"/>
    </row>
    <row r="574">
      <c r="A574" s="35"/>
    </row>
    <row r="575">
      <c r="A575" s="35"/>
    </row>
    <row r="576">
      <c r="A576" s="35"/>
    </row>
    <row r="577">
      <c r="A577" s="35"/>
    </row>
    <row r="578">
      <c r="A578" s="35"/>
    </row>
    <row r="579">
      <c r="A579" s="35"/>
    </row>
    <row r="580">
      <c r="A580" s="35"/>
    </row>
    <row r="581">
      <c r="A581" s="35"/>
    </row>
    <row r="582">
      <c r="A582" s="35"/>
    </row>
    <row r="583">
      <c r="A583" s="35"/>
    </row>
    <row r="584">
      <c r="A584" s="35"/>
    </row>
    <row r="585">
      <c r="A585" s="35"/>
    </row>
    <row r="586">
      <c r="A586" s="35"/>
    </row>
    <row r="587">
      <c r="A587" s="35"/>
    </row>
    <row r="588">
      <c r="A588" s="35"/>
    </row>
    <row r="589">
      <c r="A589" s="35"/>
    </row>
    <row r="590">
      <c r="A590" s="35"/>
    </row>
    <row r="591">
      <c r="A591" s="35"/>
    </row>
    <row r="592">
      <c r="A592" s="35"/>
    </row>
    <row r="593">
      <c r="A593" s="35"/>
    </row>
    <row r="594">
      <c r="A594" s="35"/>
    </row>
    <row r="595">
      <c r="A595" s="35"/>
    </row>
    <row r="596">
      <c r="A596" s="35"/>
    </row>
    <row r="597">
      <c r="A597" s="35"/>
    </row>
    <row r="598">
      <c r="A598" s="35"/>
    </row>
    <row r="599">
      <c r="A599" s="35"/>
    </row>
    <row r="600">
      <c r="A600" s="35"/>
    </row>
    <row r="601">
      <c r="A601" s="35"/>
    </row>
    <row r="602">
      <c r="A602" s="35"/>
    </row>
    <row r="603">
      <c r="A603" s="35"/>
    </row>
    <row r="604">
      <c r="A604" s="35"/>
    </row>
    <row r="605">
      <c r="A605" s="35"/>
    </row>
    <row r="606">
      <c r="A606" s="35"/>
    </row>
    <row r="607">
      <c r="A607" s="35"/>
    </row>
    <row r="608">
      <c r="A608" s="35"/>
    </row>
    <row r="609">
      <c r="A609" s="35"/>
    </row>
    <row r="610">
      <c r="A610" s="35"/>
    </row>
    <row r="611">
      <c r="A611" s="35"/>
    </row>
    <row r="612">
      <c r="A612" s="35"/>
    </row>
    <row r="613">
      <c r="A613" s="35"/>
    </row>
    <row r="614">
      <c r="A614" s="35"/>
    </row>
    <row r="615">
      <c r="A615" s="35"/>
    </row>
    <row r="616">
      <c r="A616" s="35"/>
    </row>
    <row r="617">
      <c r="A617" s="35"/>
    </row>
    <row r="618">
      <c r="A618" s="35"/>
    </row>
    <row r="619">
      <c r="A619" s="35"/>
    </row>
    <row r="620">
      <c r="A620" s="35"/>
    </row>
    <row r="621">
      <c r="A621" s="35"/>
    </row>
    <row r="622">
      <c r="A622" s="35"/>
    </row>
    <row r="623">
      <c r="A623" s="35"/>
    </row>
    <row r="624">
      <c r="A624" s="35"/>
    </row>
    <row r="625">
      <c r="A625" s="35"/>
    </row>
    <row r="626">
      <c r="A626" s="35"/>
    </row>
    <row r="627">
      <c r="A627" s="35"/>
    </row>
    <row r="628">
      <c r="A628" s="35"/>
    </row>
    <row r="629">
      <c r="A629" s="35"/>
    </row>
    <row r="630">
      <c r="A630" s="35"/>
    </row>
    <row r="631">
      <c r="A631" s="35"/>
    </row>
    <row r="632">
      <c r="A632" s="35"/>
    </row>
    <row r="633">
      <c r="A633" s="35"/>
    </row>
    <row r="634">
      <c r="A634" s="35"/>
    </row>
    <row r="635">
      <c r="A635" s="35"/>
    </row>
    <row r="636">
      <c r="A636" s="35"/>
    </row>
    <row r="637">
      <c r="A637" s="35"/>
    </row>
    <row r="638">
      <c r="A638" s="35"/>
    </row>
    <row r="639">
      <c r="A639" s="35"/>
    </row>
    <row r="640">
      <c r="A640" s="35"/>
    </row>
    <row r="641">
      <c r="A641" s="35"/>
    </row>
    <row r="642">
      <c r="A642" s="35"/>
    </row>
    <row r="643">
      <c r="A643" s="35"/>
    </row>
    <row r="644">
      <c r="A644" s="35"/>
    </row>
    <row r="645">
      <c r="A645" s="35"/>
    </row>
    <row r="646">
      <c r="A646" s="35"/>
    </row>
    <row r="647">
      <c r="A647" s="35"/>
    </row>
    <row r="648">
      <c r="A648" s="35"/>
    </row>
    <row r="649">
      <c r="A649" s="35"/>
    </row>
    <row r="650">
      <c r="A650" s="35"/>
    </row>
    <row r="651">
      <c r="A651" s="35"/>
    </row>
    <row r="652">
      <c r="A652" s="35"/>
    </row>
    <row r="653">
      <c r="A653" s="35"/>
    </row>
    <row r="654">
      <c r="A654" s="35"/>
    </row>
    <row r="655">
      <c r="A655" s="35"/>
    </row>
    <row r="656">
      <c r="A656" s="35"/>
    </row>
    <row r="657">
      <c r="A657" s="35"/>
    </row>
    <row r="658">
      <c r="A658" s="35"/>
    </row>
    <row r="659">
      <c r="A659" s="35"/>
    </row>
    <row r="660">
      <c r="A660" s="35"/>
    </row>
    <row r="661">
      <c r="A661" s="35"/>
    </row>
    <row r="662">
      <c r="A662" s="35"/>
    </row>
    <row r="663">
      <c r="A663" s="35"/>
    </row>
    <row r="664">
      <c r="A664" s="35"/>
    </row>
    <row r="665">
      <c r="A665" s="35"/>
    </row>
    <row r="666">
      <c r="A666" s="35"/>
    </row>
    <row r="667">
      <c r="A667" s="35"/>
    </row>
    <row r="668">
      <c r="A668" s="35"/>
    </row>
    <row r="669">
      <c r="A669" s="35"/>
    </row>
    <row r="670">
      <c r="A670" s="35"/>
    </row>
    <row r="671">
      <c r="A671" s="35"/>
    </row>
    <row r="672">
      <c r="A672" s="35"/>
    </row>
    <row r="673">
      <c r="A673" s="35"/>
    </row>
    <row r="674">
      <c r="A674" s="35"/>
    </row>
    <row r="675">
      <c r="A675" s="35"/>
    </row>
    <row r="676">
      <c r="A676" s="35"/>
    </row>
    <row r="677">
      <c r="A677" s="35"/>
    </row>
    <row r="678">
      <c r="A678" s="35"/>
    </row>
    <row r="679">
      <c r="A679" s="35"/>
    </row>
    <row r="680">
      <c r="A680" s="35"/>
    </row>
    <row r="681">
      <c r="A681" s="35"/>
    </row>
    <row r="682">
      <c r="A682" s="35"/>
    </row>
    <row r="683">
      <c r="A683" s="35"/>
    </row>
    <row r="684">
      <c r="A684" s="35"/>
    </row>
    <row r="685">
      <c r="A685" s="35"/>
    </row>
    <row r="686">
      <c r="A686" s="35"/>
    </row>
    <row r="687">
      <c r="A687" s="35"/>
    </row>
    <row r="688">
      <c r="A688" s="35"/>
    </row>
    <row r="689">
      <c r="A689" s="35"/>
    </row>
    <row r="690">
      <c r="A690" s="35"/>
    </row>
    <row r="691">
      <c r="A691" s="35"/>
    </row>
    <row r="692">
      <c r="A692" s="35"/>
    </row>
    <row r="693">
      <c r="A693" s="35"/>
    </row>
    <row r="694">
      <c r="A694" s="35"/>
    </row>
    <row r="695">
      <c r="A695" s="35"/>
    </row>
    <row r="696">
      <c r="A696" s="35"/>
    </row>
    <row r="697">
      <c r="A697" s="35"/>
    </row>
    <row r="698">
      <c r="A698" s="35"/>
    </row>
    <row r="699">
      <c r="A699" s="35"/>
    </row>
    <row r="700">
      <c r="A700" s="35"/>
    </row>
    <row r="701">
      <c r="A701" s="35"/>
    </row>
    <row r="702">
      <c r="A702" s="35"/>
    </row>
    <row r="703">
      <c r="A703" s="35"/>
    </row>
    <row r="704">
      <c r="A704" s="35"/>
    </row>
    <row r="705">
      <c r="A705" s="35"/>
    </row>
    <row r="706">
      <c r="A706" s="35"/>
    </row>
    <row r="707">
      <c r="A707" s="35"/>
    </row>
    <row r="708">
      <c r="A708" s="35"/>
    </row>
    <row r="709">
      <c r="A709" s="35"/>
    </row>
    <row r="710">
      <c r="A710" s="35"/>
    </row>
    <row r="711">
      <c r="A711" s="35"/>
    </row>
    <row r="712">
      <c r="A712" s="35"/>
    </row>
    <row r="713">
      <c r="A713" s="35"/>
    </row>
    <row r="714">
      <c r="A714" s="35"/>
    </row>
    <row r="715">
      <c r="A715" s="35"/>
    </row>
    <row r="716">
      <c r="A716" s="35"/>
    </row>
    <row r="717">
      <c r="A717" s="35"/>
    </row>
    <row r="718">
      <c r="A718" s="35"/>
    </row>
    <row r="719">
      <c r="A719" s="35"/>
    </row>
    <row r="720">
      <c r="A720" s="35"/>
    </row>
    <row r="721">
      <c r="A721" s="35"/>
    </row>
    <row r="722">
      <c r="A722" s="35"/>
    </row>
    <row r="723">
      <c r="A723" s="35"/>
    </row>
    <row r="724">
      <c r="A724" s="35"/>
    </row>
    <row r="725">
      <c r="A725" s="35"/>
    </row>
    <row r="726">
      <c r="A726" s="35"/>
    </row>
    <row r="727">
      <c r="A727" s="35"/>
    </row>
    <row r="728">
      <c r="A728" s="35"/>
    </row>
    <row r="729">
      <c r="A729" s="35"/>
    </row>
    <row r="730">
      <c r="A730" s="35"/>
    </row>
    <row r="731">
      <c r="A731" s="35"/>
    </row>
    <row r="732">
      <c r="A732" s="35"/>
    </row>
    <row r="733">
      <c r="A733" s="35"/>
    </row>
    <row r="734">
      <c r="A734" s="35"/>
    </row>
    <row r="735">
      <c r="A735" s="35"/>
    </row>
    <row r="736">
      <c r="A736" s="35"/>
    </row>
    <row r="737">
      <c r="A737" s="35"/>
    </row>
    <row r="738">
      <c r="A738" s="35"/>
    </row>
    <row r="739">
      <c r="A739" s="35"/>
    </row>
    <row r="740">
      <c r="A740" s="35"/>
    </row>
    <row r="741">
      <c r="A741" s="35"/>
    </row>
    <row r="742">
      <c r="A742" s="35"/>
    </row>
    <row r="743">
      <c r="A743" s="35"/>
    </row>
    <row r="744">
      <c r="A744" s="35"/>
    </row>
    <row r="745">
      <c r="A745" s="35"/>
    </row>
    <row r="746">
      <c r="A746" s="35"/>
    </row>
    <row r="747">
      <c r="A747" s="35"/>
    </row>
    <row r="748">
      <c r="A748" s="35"/>
    </row>
    <row r="749">
      <c r="A749" s="35"/>
    </row>
    <row r="750">
      <c r="A750" s="35"/>
    </row>
    <row r="751">
      <c r="A751" s="35"/>
    </row>
    <row r="752">
      <c r="A752" s="35"/>
    </row>
    <row r="753">
      <c r="A753" s="35"/>
    </row>
    <row r="754">
      <c r="A754" s="35"/>
    </row>
    <row r="755">
      <c r="A755" s="35"/>
    </row>
    <row r="756">
      <c r="A756" s="35"/>
    </row>
    <row r="757">
      <c r="A757" s="35"/>
    </row>
    <row r="758">
      <c r="A758" s="35"/>
    </row>
    <row r="759">
      <c r="A759" s="35"/>
    </row>
    <row r="760">
      <c r="A760" s="35"/>
    </row>
    <row r="761">
      <c r="A761" s="35"/>
    </row>
    <row r="762">
      <c r="A762" s="35"/>
    </row>
    <row r="763">
      <c r="A763" s="35"/>
    </row>
    <row r="764">
      <c r="A764" s="35"/>
    </row>
    <row r="765">
      <c r="A765" s="35"/>
    </row>
    <row r="766">
      <c r="A766" s="35"/>
    </row>
    <row r="767">
      <c r="A767" s="35"/>
    </row>
    <row r="768">
      <c r="A768" s="35"/>
    </row>
    <row r="769">
      <c r="A769" s="35"/>
    </row>
    <row r="770">
      <c r="A770" s="35"/>
    </row>
    <row r="771">
      <c r="A771" s="35"/>
    </row>
    <row r="772">
      <c r="A772" s="35"/>
    </row>
    <row r="773">
      <c r="A773" s="35"/>
    </row>
    <row r="774">
      <c r="A774" s="35"/>
    </row>
    <row r="775">
      <c r="A775" s="35"/>
    </row>
    <row r="776">
      <c r="A776" s="35"/>
    </row>
    <row r="777">
      <c r="A777" s="35"/>
    </row>
    <row r="778">
      <c r="A778" s="35"/>
    </row>
    <row r="779">
      <c r="A779" s="35"/>
    </row>
    <row r="780">
      <c r="A780" s="35"/>
    </row>
    <row r="781">
      <c r="A781" s="35"/>
    </row>
    <row r="782">
      <c r="A782" s="35"/>
    </row>
    <row r="783">
      <c r="A783" s="35"/>
    </row>
    <row r="784">
      <c r="A784" s="35"/>
    </row>
    <row r="785">
      <c r="A785" s="35"/>
    </row>
    <row r="786">
      <c r="A786" s="35"/>
    </row>
    <row r="787">
      <c r="A787" s="35"/>
    </row>
    <row r="788">
      <c r="A788" s="35"/>
    </row>
    <row r="789">
      <c r="A789" s="35"/>
    </row>
    <row r="790">
      <c r="A790" s="35"/>
    </row>
    <row r="791">
      <c r="A791" s="35"/>
    </row>
    <row r="792">
      <c r="A792" s="35"/>
    </row>
    <row r="793">
      <c r="A793" s="35"/>
    </row>
    <row r="794">
      <c r="A794" s="35"/>
    </row>
    <row r="795">
      <c r="A795" s="35"/>
    </row>
    <row r="796">
      <c r="A796" s="35"/>
    </row>
    <row r="797">
      <c r="A797" s="35"/>
    </row>
    <row r="798">
      <c r="A798" s="35"/>
    </row>
    <row r="799">
      <c r="A799" s="35"/>
    </row>
    <row r="800">
      <c r="A800" s="35"/>
    </row>
    <row r="801">
      <c r="A801" s="35"/>
    </row>
    <row r="802">
      <c r="A802" s="35"/>
    </row>
    <row r="803">
      <c r="A803" s="35"/>
    </row>
    <row r="804">
      <c r="A804" s="35"/>
    </row>
    <row r="805">
      <c r="A805" s="35"/>
    </row>
    <row r="806">
      <c r="A806" s="35"/>
    </row>
    <row r="807">
      <c r="A807" s="35"/>
    </row>
    <row r="808">
      <c r="A808" s="35"/>
    </row>
    <row r="809">
      <c r="A809" s="35"/>
    </row>
    <row r="810">
      <c r="A810" s="35"/>
    </row>
    <row r="811">
      <c r="A811" s="35"/>
    </row>
    <row r="812">
      <c r="A812" s="35"/>
    </row>
    <row r="813">
      <c r="A813" s="35"/>
    </row>
    <row r="814">
      <c r="A814" s="35"/>
    </row>
    <row r="815">
      <c r="A815" s="35"/>
    </row>
    <row r="816">
      <c r="A816" s="35"/>
    </row>
    <row r="817">
      <c r="A817" s="35"/>
    </row>
    <row r="818">
      <c r="A818" s="35"/>
    </row>
    <row r="819">
      <c r="A819" s="35"/>
    </row>
    <row r="820">
      <c r="A820" s="35"/>
    </row>
    <row r="821">
      <c r="A821" s="35"/>
    </row>
    <row r="822">
      <c r="A822" s="35"/>
    </row>
    <row r="823">
      <c r="A823" s="35"/>
    </row>
    <row r="824">
      <c r="A824" s="35"/>
    </row>
    <row r="825">
      <c r="A825" s="35"/>
    </row>
    <row r="826">
      <c r="A826" s="35"/>
    </row>
    <row r="827">
      <c r="A827" s="35"/>
    </row>
    <row r="828">
      <c r="A828" s="35"/>
    </row>
    <row r="829">
      <c r="A829" s="35"/>
    </row>
    <row r="830">
      <c r="A830" s="35"/>
    </row>
    <row r="831">
      <c r="A831" s="35"/>
    </row>
    <row r="832">
      <c r="A832" s="35"/>
    </row>
    <row r="833">
      <c r="A833" s="35"/>
    </row>
    <row r="834">
      <c r="A834" s="35"/>
    </row>
    <row r="835">
      <c r="A835" s="35"/>
    </row>
    <row r="836">
      <c r="A836" s="35"/>
    </row>
    <row r="837">
      <c r="A837" s="35"/>
    </row>
    <row r="838">
      <c r="A838" s="35"/>
    </row>
    <row r="839">
      <c r="A839" s="35"/>
    </row>
    <row r="840">
      <c r="A840" s="35"/>
    </row>
    <row r="841">
      <c r="A841" s="35"/>
    </row>
    <row r="842">
      <c r="A842" s="35"/>
    </row>
    <row r="843">
      <c r="A843" s="35"/>
    </row>
    <row r="844">
      <c r="A844" s="35"/>
    </row>
    <row r="845">
      <c r="A845" s="35"/>
    </row>
    <row r="846">
      <c r="A846" s="35"/>
    </row>
    <row r="847">
      <c r="A847" s="35"/>
    </row>
    <row r="848">
      <c r="A848" s="35"/>
    </row>
    <row r="849">
      <c r="A849" s="35"/>
    </row>
    <row r="850">
      <c r="A850" s="35"/>
    </row>
    <row r="851">
      <c r="A851" s="35"/>
    </row>
    <row r="852">
      <c r="A852" s="35"/>
    </row>
    <row r="853">
      <c r="A853" s="35"/>
    </row>
    <row r="854">
      <c r="A854" s="35"/>
    </row>
    <row r="855">
      <c r="A855" s="35"/>
    </row>
    <row r="856">
      <c r="A856" s="35"/>
    </row>
    <row r="857">
      <c r="A857" s="35"/>
    </row>
    <row r="858">
      <c r="A858" s="35"/>
    </row>
    <row r="859">
      <c r="A859" s="35"/>
    </row>
    <row r="860">
      <c r="A860" s="35"/>
    </row>
    <row r="861">
      <c r="A861" s="35"/>
    </row>
    <row r="862">
      <c r="A862" s="35"/>
    </row>
    <row r="863">
      <c r="A863" s="35"/>
    </row>
    <row r="864">
      <c r="A864" s="35"/>
    </row>
    <row r="865">
      <c r="A865" s="35"/>
    </row>
    <row r="866">
      <c r="A866" s="35"/>
    </row>
    <row r="867">
      <c r="A867" s="35"/>
    </row>
    <row r="868">
      <c r="A868" s="35"/>
    </row>
    <row r="869">
      <c r="A869" s="35"/>
    </row>
    <row r="870">
      <c r="A870" s="35"/>
    </row>
    <row r="871">
      <c r="A871" s="35"/>
    </row>
    <row r="872">
      <c r="A872" s="35"/>
    </row>
    <row r="873">
      <c r="A873" s="35"/>
    </row>
    <row r="874">
      <c r="A874" s="35"/>
    </row>
    <row r="875">
      <c r="A875" s="35"/>
    </row>
    <row r="876">
      <c r="A876" s="35"/>
    </row>
    <row r="877">
      <c r="A877" s="35"/>
    </row>
    <row r="878">
      <c r="A878" s="35"/>
    </row>
    <row r="879">
      <c r="A879" s="35"/>
    </row>
    <row r="880">
      <c r="A880" s="35"/>
    </row>
    <row r="881">
      <c r="A881" s="35"/>
    </row>
    <row r="882">
      <c r="A882" s="35"/>
    </row>
    <row r="883">
      <c r="A883" s="35"/>
    </row>
    <row r="884">
      <c r="A884" s="35"/>
    </row>
    <row r="885">
      <c r="A885" s="35"/>
    </row>
    <row r="886">
      <c r="A886" s="35"/>
    </row>
    <row r="887">
      <c r="A887" s="35"/>
    </row>
    <row r="888">
      <c r="A888" s="35"/>
    </row>
    <row r="889">
      <c r="A889" s="35"/>
    </row>
    <row r="890">
      <c r="A890" s="35"/>
    </row>
    <row r="891">
      <c r="A891" s="35"/>
    </row>
    <row r="892">
      <c r="A892" s="35"/>
    </row>
    <row r="893">
      <c r="A893" s="35"/>
    </row>
    <row r="894">
      <c r="A894" s="35"/>
    </row>
    <row r="895">
      <c r="A895" s="35"/>
    </row>
    <row r="896">
      <c r="A896" s="35"/>
    </row>
    <row r="897">
      <c r="A897" s="35"/>
    </row>
    <row r="898">
      <c r="A898" s="35"/>
    </row>
    <row r="899">
      <c r="A899" s="35"/>
    </row>
    <row r="900">
      <c r="A900" s="35"/>
    </row>
    <row r="901">
      <c r="A901" s="35"/>
    </row>
    <row r="902">
      <c r="A902" s="35"/>
    </row>
    <row r="903">
      <c r="A903" s="35"/>
    </row>
    <row r="904">
      <c r="A904" s="35"/>
    </row>
    <row r="905">
      <c r="A905" s="35"/>
    </row>
    <row r="906">
      <c r="A906" s="35"/>
    </row>
    <row r="907">
      <c r="A907" s="35"/>
    </row>
    <row r="908">
      <c r="A908" s="35"/>
    </row>
    <row r="909">
      <c r="A909" s="35"/>
    </row>
    <row r="910">
      <c r="A910" s="35"/>
    </row>
    <row r="911">
      <c r="A911" s="35"/>
    </row>
    <row r="912">
      <c r="A912" s="35"/>
    </row>
    <row r="913">
      <c r="A913" s="35"/>
    </row>
    <row r="914">
      <c r="A914" s="35"/>
    </row>
    <row r="915">
      <c r="A915" s="35"/>
    </row>
    <row r="916">
      <c r="A916" s="35"/>
    </row>
    <row r="917">
      <c r="A917" s="35"/>
    </row>
    <row r="918">
      <c r="A918" s="35"/>
    </row>
    <row r="919">
      <c r="A919" s="35"/>
    </row>
    <row r="920">
      <c r="A920" s="35"/>
    </row>
    <row r="921">
      <c r="A921" s="35"/>
    </row>
    <row r="922">
      <c r="A922" s="35"/>
    </row>
    <row r="923">
      <c r="A923" s="35"/>
    </row>
    <row r="924">
      <c r="A924" s="35"/>
    </row>
    <row r="925">
      <c r="A925" s="35"/>
    </row>
    <row r="926">
      <c r="A926" s="35"/>
    </row>
    <row r="927">
      <c r="A927" s="35"/>
    </row>
    <row r="928">
      <c r="A928" s="35"/>
    </row>
    <row r="929">
      <c r="A929" s="35"/>
    </row>
    <row r="930">
      <c r="A930" s="35"/>
    </row>
    <row r="931">
      <c r="A931" s="35"/>
    </row>
    <row r="932">
      <c r="A932" s="35"/>
    </row>
    <row r="933">
      <c r="A933" s="35"/>
    </row>
    <row r="934">
      <c r="A934" s="35"/>
    </row>
    <row r="935">
      <c r="A935" s="35"/>
    </row>
    <row r="936">
      <c r="A936" s="35"/>
    </row>
    <row r="937">
      <c r="A937" s="35"/>
    </row>
    <row r="938">
      <c r="A938" s="35"/>
    </row>
    <row r="939">
      <c r="A939" s="35"/>
    </row>
    <row r="940">
      <c r="A940" s="35"/>
    </row>
    <row r="941">
      <c r="A941" s="35"/>
    </row>
    <row r="942">
      <c r="A942" s="35"/>
    </row>
    <row r="943">
      <c r="A943" s="35"/>
    </row>
    <row r="944">
      <c r="A944" s="35"/>
    </row>
    <row r="945">
      <c r="A945" s="35"/>
    </row>
    <row r="946">
      <c r="A946" s="35"/>
    </row>
    <row r="947">
      <c r="A947" s="35"/>
    </row>
    <row r="948">
      <c r="A948" s="35"/>
    </row>
    <row r="949">
      <c r="A949" s="35"/>
    </row>
    <row r="950">
      <c r="A950" s="35"/>
    </row>
    <row r="951">
      <c r="A951" s="35"/>
    </row>
    <row r="952">
      <c r="A952" s="35"/>
    </row>
    <row r="953">
      <c r="A953" s="35"/>
    </row>
    <row r="954">
      <c r="A954" s="35"/>
    </row>
    <row r="955">
      <c r="A955" s="35"/>
    </row>
    <row r="956">
      <c r="A956" s="35"/>
    </row>
    <row r="957">
      <c r="A957" s="35"/>
    </row>
    <row r="958">
      <c r="A958" s="35"/>
    </row>
    <row r="959">
      <c r="A959" s="35"/>
    </row>
    <row r="960">
      <c r="A960" s="35"/>
    </row>
    <row r="961">
      <c r="A961" s="35"/>
    </row>
    <row r="962">
      <c r="A962" s="35"/>
    </row>
    <row r="963">
      <c r="A963" s="35"/>
    </row>
    <row r="964">
      <c r="A964" s="35"/>
    </row>
    <row r="965">
      <c r="A965" s="35"/>
    </row>
    <row r="966">
      <c r="A966" s="35"/>
    </row>
    <row r="967">
      <c r="A967" s="35"/>
    </row>
    <row r="968">
      <c r="A968" s="35"/>
    </row>
    <row r="969">
      <c r="A969" s="35"/>
    </row>
    <row r="970">
      <c r="A970" s="35"/>
    </row>
    <row r="971">
      <c r="A971" s="35"/>
    </row>
    <row r="972">
      <c r="A972" s="35"/>
    </row>
    <row r="973">
      <c r="A973" s="35"/>
    </row>
    <row r="974">
      <c r="A974" s="35"/>
    </row>
    <row r="975">
      <c r="A975" s="35"/>
    </row>
    <row r="976">
      <c r="A976" s="35"/>
    </row>
    <row r="977">
      <c r="A977" s="35"/>
    </row>
    <row r="978">
      <c r="A978" s="35"/>
    </row>
    <row r="979">
      <c r="A979" s="35"/>
    </row>
    <row r="980">
      <c r="A980" s="35"/>
    </row>
    <row r="981">
      <c r="A981" s="35"/>
    </row>
    <row r="982">
      <c r="A982" s="35"/>
    </row>
    <row r="983">
      <c r="A983" s="35"/>
    </row>
    <row r="984">
      <c r="A984" s="35"/>
    </row>
    <row r="985">
      <c r="A985" s="35"/>
    </row>
    <row r="986">
      <c r="A986" s="35"/>
    </row>
    <row r="987">
      <c r="A987" s="35"/>
    </row>
    <row r="988">
      <c r="A988" s="35"/>
    </row>
    <row r="989">
      <c r="A989" s="35"/>
    </row>
    <row r="990">
      <c r="A990" s="35"/>
    </row>
    <row r="991">
      <c r="A991" s="35"/>
    </row>
    <row r="992">
      <c r="A992" s="35"/>
    </row>
    <row r="993">
      <c r="A993" s="35"/>
    </row>
    <row r="994">
      <c r="A994" s="35"/>
    </row>
    <row r="995">
      <c r="A995" s="35"/>
    </row>
    <row r="996">
      <c r="A996" s="35"/>
    </row>
    <row r="997">
      <c r="A997" s="35"/>
    </row>
    <row r="998">
      <c r="A998" s="35"/>
    </row>
    <row r="999">
      <c r="A999" s="35"/>
    </row>
    <row r="1000">
      <c r="A1000" s="3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7.63"/>
    <col customWidth="1" min="2" max="32" width="4.13"/>
  </cols>
  <sheetData>
    <row r="1">
      <c r="A1" s="37" t="s">
        <v>193</v>
      </c>
      <c r="B1" s="38"/>
      <c r="C1" s="39"/>
      <c r="D1" s="40"/>
      <c r="E1" s="41"/>
      <c r="F1" s="42"/>
      <c r="G1" s="43"/>
      <c r="H1" s="44">
        <f>'THE TABEL'!C2</f>
        <v>1</v>
      </c>
      <c r="I1" s="44">
        <f>'THE TABEL'!D2</f>
        <v>1</v>
      </c>
      <c r="J1" s="44">
        <f>'THE TABEL'!E2</f>
        <v>2</v>
      </c>
      <c r="K1" s="44">
        <f>'THE TABEL'!F2</f>
        <v>3.051282051</v>
      </c>
      <c r="L1" s="44">
        <f>'THE TABEL'!G2</f>
        <v>4</v>
      </c>
      <c r="M1" s="44">
        <f>'THE TABEL'!H2</f>
        <v>3</v>
      </c>
      <c r="N1" s="44">
        <f>'THE TABEL'!I2</f>
        <v>1</v>
      </c>
      <c r="O1" s="44">
        <f>'THE TABEL'!J2</f>
        <v>1.5</v>
      </c>
      <c r="P1" s="44">
        <f>'THE TABEL'!K2</f>
        <v>3</v>
      </c>
      <c r="Q1" s="44">
        <f>'THE TABEL'!L2</f>
        <v>0.64</v>
      </c>
      <c r="R1" s="44">
        <f>'THE TABEL'!M2</f>
        <v>5</v>
      </c>
      <c r="S1" s="44">
        <f>'THE TABEL'!N2</f>
        <v>4</v>
      </c>
      <c r="T1" s="44">
        <f>'THE TABEL'!O2</f>
        <v>4</v>
      </c>
      <c r="U1" s="44">
        <f>'THE TABEL'!P2</f>
        <v>5</v>
      </c>
      <c r="V1" s="44">
        <f>'THE TABEL'!Q2</f>
        <v>2.5</v>
      </c>
      <c r="W1" s="44">
        <f>'THE TABEL'!R2</f>
        <v>5.5</v>
      </c>
      <c r="X1" s="44">
        <f>'THE TABEL'!S2</f>
        <v>0.5</v>
      </c>
      <c r="Y1" s="44">
        <f>'THE TABEL'!T2</f>
        <v>1</v>
      </c>
      <c r="Z1" s="44">
        <f>'THE TABEL'!U2</f>
        <v>2.5</v>
      </c>
      <c r="AA1" s="44" t="str">
        <f>'THE TABEL'!V2</f>
        <v/>
      </c>
      <c r="AB1" s="44" t="str">
        <f>'THE TABEL'!W2</f>
        <v/>
      </c>
      <c r="AC1" s="44" t="str">
        <f>'THE TABEL'!X2</f>
        <v/>
      </c>
      <c r="AD1" s="44" t="str">
        <f>'THE TABEL'!Y2</f>
        <v/>
      </c>
      <c r="AE1" s="44" t="str">
        <f>'THE TABEL'!Z2</f>
        <v/>
      </c>
      <c r="AF1" s="44"/>
    </row>
    <row r="2" ht="68.25" customHeight="1">
      <c r="A2" s="45" t="s">
        <v>207</v>
      </c>
      <c r="B2" s="46" t="s">
        <v>29</v>
      </c>
      <c r="C2" s="47" t="s">
        <v>25</v>
      </c>
      <c r="D2" s="48" t="s">
        <v>209</v>
      </c>
      <c r="E2" s="46" t="s">
        <v>211</v>
      </c>
      <c r="F2" s="46" t="s">
        <v>212</v>
      </c>
      <c r="G2" s="49" t="s">
        <v>213</v>
      </c>
      <c r="H2" s="50" t="str">
        <f>'THE TABEL'!C1</f>
        <v>Fudge Value</v>
      </c>
      <c r="I2" s="50" t="str">
        <f>'THE TABEL'!D1</f>
        <v>Acc / Def 💯</v>
      </c>
      <c r="J2" s="50" t="str">
        <f>'THE TABEL'!E1</f>
        <v>Damage</v>
      </c>
      <c r="K2" s="50" t="str">
        <f>'THE TABEL'!F1</f>
        <v>Card 💯</v>
      </c>
      <c r="L2" s="50" t="str">
        <f>'THE TABEL'!G1</f>
        <v>Health 💯</v>
      </c>
      <c r="M2" s="50" t="str">
        <f>'THE TABEL'!H1</f>
        <v>1 AP 💯</v>
      </c>
      <c r="N2" s="50" t="str">
        <f>'THE TABEL'!I1</f>
        <v>Debuff</v>
      </c>
      <c r="O2" s="50" t="str">
        <f>'THE TABEL'!J1</f>
        <v>Gold 💯</v>
      </c>
      <c r="P2" s="50" t="str">
        <f>'THE TABEL'!K1</f>
        <v>Protected 💯</v>
      </c>
      <c r="Q2" s="50" t="str">
        <f>'THE TABEL'!L1</f>
        <v>Sift</v>
      </c>
      <c r="R2" s="50" t="str">
        <f>'THE TABEL'!M1</f>
        <v>Shallow HP 💯</v>
      </c>
      <c r="S2" s="50" t="str">
        <f>'THE TABEL'!N1</f>
        <v>Deep HP 💯</v>
      </c>
      <c r="T2" s="50" t="str">
        <f>'THE TABEL'!O1</f>
        <v>Shallow Heal 💯</v>
      </c>
      <c r="U2" s="50" t="str">
        <f>'THE TABEL'!P1</f>
        <v>Deep Heal 💯</v>
      </c>
      <c r="V2" s="50" t="str">
        <f>'THE TABEL'!Q1</f>
        <v>Good Luck 💯</v>
      </c>
      <c r="W2" s="50" t="str">
        <f>'THE TABEL'!R1</f>
        <v>Autoswing 💯</v>
      </c>
      <c r="X2" s="50" t="str">
        <f>'THE TABEL'!S1</f>
        <v>Push</v>
      </c>
      <c r="Y2" s="50" t="str">
        <f>'THE TABEL'!T1</f>
        <v>Difficult Terrain 💯</v>
      </c>
      <c r="Z2" s="50" t="str">
        <f>'THE TABEL'!U1</f>
        <v>Concession 💯</v>
      </c>
      <c r="AA2" s="50" t="str">
        <f>'THE TABEL'!V1</f>
        <v/>
      </c>
      <c r="AB2" s="50" t="str">
        <f>'THE TABEL'!W1</f>
        <v/>
      </c>
      <c r="AC2" s="50" t="str">
        <f>'THE TABEL'!X1</f>
        <v/>
      </c>
      <c r="AD2" s="50" t="str">
        <f>'THE TABEL'!Y1</f>
        <v/>
      </c>
      <c r="AE2" s="50" t="str">
        <f>'THE TABEL'!Z1</f>
        <v/>
      </c>
      <c r="AF2" s="50"/>
    </row>
    <row r="3">
      <c r="A3" s="51" t="s">
        <v>221</v>
      </c>
      <c r="B3" s="52" t="s">
        <v>222</v>
      </c>
      <c r="C3" s="53">
        <v>1.0</v>
      </c>
      <c r="D3" s="54">
        <f t="shared" ref="D3:D1001" si="1">E3*F3-G3</f>
        <v>0</v>
      </c>
      <c r="E3" s="55">
        <f t="shared" ref="E3:E1001" si="2">SUMPRODUCT($H$1:$AF$1,H3:AF3)</f>
        <v>3</v>
      </c>
      <c r="F3" s="56">
        <v>1.0</v>
      </c>
      <c r="G3" s="57">
        <f t="shared" ref="G3:G1001" si="3">C3*3</f>
        <v>3</v>
      </c>
      <c r="H3" s="58"/>
      <c r="I3" s="58"/>
      <c r="J3" s="58"/>
      <c r="K3" s="58"/>
      <c r="L3" s="58"/>
      <c r="M3" s="59">
        <v>-1.0</v>
      </c>
      <c r="N3" s="58"/>
      <c r="O3" s="58"/>
      <c r="P3" s="59">
        <v>2.0</v>
      </c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</row>
    <row r="4">
      <c r="A4" s="51" t="s">
        <v>227</v>
      </c>
      <c r="B4" s="52" t="s">
        <v>222</v>
      </c>
      <c r="C4" s="53">
        <v>1.0</v>
      </c>
      <c r="D4" s="54">
        <f t="shared" si="1"/>
        <v>0</v>
      </c>
      <c r="E4" s="55">
        <f t="shared" si="2"/>
        <v>3</v>
      </c>
      <c r="F4" s="56">
        <v>1.0</v>
      </c>
      <c r="G4" s="57">
        <f t="shared" si="3"/>
        <v>3</v>
      </c>
      <c r="H4" s="58"/>
      <c r="I4" s="58"/>
      <c r="J4" s="58"/>
      <c r="K4" s="59"/>
      <c r="L4" s="58"/>
      <c r="M4" s="59">
        <v>1.0</v>
      </c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</row>
    <row r="5">
      <c r="A5" s="51" t="s">
        <v>230</v>
      </c>
      <c r="B5" s="52" t="s">
        <v>222</v>
      </c>
      <c r="C5" s="53">
        <v>1.0</v>
      </c>
      <c r="D5" s="54">
        <f t="shared" si="1"/>
        <v>0.1666666667</v>
      </c>
      <c r="E5" s="55">
        <f t="shared" si="2"/>
        <v>9.5</v>
      </c>
      <c r="F5" s="56">
        <f>1/3</f>
        <v>0.3333333333</v>
      </c>
      <c r="G5" s="57">
        <f t="shared" si="3"/>
        <v>3</v>
      </c>
      <c r="H5" s="59">
        <v>20.0</v>
      </c>
      <c r="I5" s="59"/>
      <c r="J5" s="59"/>
      <c r="K5" s="59"/>
      <c r="L5" s="59"/>
      <c r="M5" s="58"/>
      <c r="N5" s="58"/>
      <c r="O5" s="59">
        <v>-7.0</v>
      </c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</row>
    <row r="6">
      <c r="A6" s="51" t="s">
        <v>232</v>
      </c>
      <c r="B6" s="52" t="s">
        <v>222</v>
      </c>
      <c r="C6" s="53">
        <v>2.0</v>
      </c>
      <c r="D6" s="54">
        <f t="shared" si="1"/>
        <v>0</v>
      </c>
      <c r="E6" s="55">
        <f t="shared" si="2"/>
        <v>6</v>
      </c>
      <c r="F6" s="56">
        <v>1.0</v>
      </c>
      <c r="G6" s="57">
        <f t="shared" si="3"/>
        <v>6</v>
      </c>
      <c r="H6" s="59">
        <v>3.0</v>
      </c>
      <c r="I6" s="58"/>
      <c r="J6" s="58"/>
      <c r="K6" s="58"/>
      <c r="L6" s="58"/>
      <c r="M6" s="59">
        <v>1.0</v>
      </c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</row>
    <row r="7">
      <c r="A7" s="51" t="s">
        <v>236</v>
      </c>
      <c r="B7" s="52" t="s">
        <v>222</v>
      </c>
      <c r="C7" s="53">
        <v>2.0</v>
      </c>
      <c r="D7" s="54">
        <f t="shared" si="1"/>
        <v>1</v>
      </c>
      <c r="E7" s="55">
        <f t="shared" si="2"/>
        <v>7</v>
      </c>
      <c r="F7" s="56">
        <v>1.0</v>
      </c>
      <c r="G7" s="57">
        <f t="shared" si="3"/>
        <v>6</v>
      </c>
      <c r="H7" s="59">
        <v>6.0</v>
      </c>
      <c r="I7" s="58"/>
      <c r="J7" s="59">
        <v>2.5</v>
      </c>
      <c r="K7" s="58"/>
      <c r="L7" s="59">
        <v>-1.0</v>
      </c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</row>
    <row r="8">
      <c r="A8" s="51" t="s">
        <v>238</v>
      </c>
      <c r="B8" s="52" t="s">
        <v>222</v>
      </c>
      <c r="C8" s="53">
        <v>2.0</v>
      </c>
      <c r="D8" s="54">
        <f t="shared" si="1"/>
        <v>-0.5</v>
      </c>
      <c r="E8" s="55">
        <f t="shared" si="2"/>
        <v>11</v>
      </c>
      <c r="F8" s="56">
        <v>0.5</v>
      </c>
      <c r="G8" s="57">
        <f t="shared" si="3"/>
        <v>6</v>
      </c>
      <c r="H8" s="58"/>
      <c r="I8" s="58"/>
      <c r="J8" s="58"/>
      <c r="K8" s="58"/>
      <c r="L8" s="59">
        <v>2.0</v>
      </c>
      <c r="M8" s="59">
        <v>1.0</v>
      </c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</row>
    <row r="9">
      <c r="A9" s="51" t="s">
        <v>240</v>
      </c>
      <c r="B9" s="52" t="s">
        <v>222</v>
      </c>
      <c r="C9" s="53">
        <v>2.0</v>
      </c>
      <c r="D9" s="54">
        <f t="shared" si="1"/>
        <v>0</v>
      </c>
      <c r="E9" s="55">
        <f t="shared" si="2"/>
        <v>12</v>
      </c>
      <c r="F9" s="56">
        <v>0.5</v>
      </c>
      <c r="G9" s="57">
        <f t="shared" si="3"/>
        <v>6</v>
      </c>
      <c r="H9" s="59">
        <v>6.0</v>
      </c>
      <c r="I9" s="58"/>
      <c r="J9" s="58"/>
      <c r="K9" s="58"/>
      <c r="L9" s="58"/>
      <c r="M9" s="59">
        <v>2.0</v>
      </c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</row>
    <row r="10">
      <c r="A10" s="51" t="s">
        <v>242</v>
      </c>
      <c r="B10" s="52" t="s">
        <v>222</v>
      </c>
      <c r="C10" s="53">
        <v>2.0</v>
      </c>
      <c r="D10" s="54">
        <f t="shared" si="1"/>
        <v>-0.5</v>
      </c>
      <c r="E10" s="55">
        <f t="shared" si="2"/>
        <v>11</v>
      </c>
      <c r="F10" s="56">
        <v>0.5</v>
      </c>
      <c r="G10" s="57">
        <f t="shared" si="3"/>
        <v>6</v>
      </c>
      <c r="H10" s="58"/>
      <c r="I10" s="58"/>
      <c r="J10" s="58"/>
      <c r="K10" s="58"/>
      <c r="L10" s="59">
        <v>2.0</v>
      </c>
      <c r="M10" s="59">
        <v>1.0</v>
      </c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</row>
    <row r="11">
      <c r="A11" s="51" t="s">
        <v>243</v>
      </c>
      <c r="B11" s="52" t="s">
        <v>222</v>
      </c>
      <c r="C11" s="53">
        <v>2.0</v>
      </c>
      <c r="D11" s="54">
        <f t="shared" si="1"/>
        <v>-7.897435897</v>
      </c>
      <c r="E11" s="55">
        <f t="shared" si="2"/>
        <v>-0.9487179487</v>
      </c>
      <c r="F11" s="56">
        <v>2.0</v>
      </c>
      <c r="G11" s="57">
        <f t="shared" si="3"/>
        <v>6</v>
      </c>
      <c r="H11" s="58"/>
      <c r="I11" s="58"/>
      <c r="J11" s="58"/>
      <c r="K11" s="59">
        <v>1.0</v>
      </c>
      <c r="L11" s="59">
        <v>-1.0</v>
      </c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</row>
    <row r="12">
      <c r="A12" s="51" t="s">
        <v>245</v>
      </c>
      <c r="B12" s="52" t="s">
        <v>222</v>
      </c>
      <c r="C12" s="53">
        <v>2.0</v>
      </c>
      <c r="D12" s="54">
        <f t="shared" si="1"/>
        <v>0</v>
      </c>
      <c r="E12" s="55">
        <f t="shared" si="2"/>
        <v>6</v>
      </c>
      <c r="F12" s="56">
        <v>1.0</v>
      </c>
      <c r="G12" s="57">
        <f t="shared" si="3"/>
        <v>6</v>
      </c>
      <c r="H12" s="58"/>
      <c r="I12" s="58"/>
      <c r="J12" s="58"/>
      <c r="K12" s="59"/>
      <c r="L12" s="58"/>
      <c r="M12" s="59">
        <v>2.0</v>
      </c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</row>
    <row r="13">
      <c r="A13" s="51" t="s">
        <v>246</v>
      </c>
      <c r="B13" s="52" t="s">
        <v>222</v>
      </c>
      <c r="C13" s="53">
        <v>2.0</v>
      </c>
      <c r="D13" s="54">
        <f t="shared" si="1"/>
        <v>0.8061538462</v>
      </c>
      <c r="E13" s="55">
        <f t="shared" si="2"/>
        <v>2.268717949</v>
      </c>
      <c r="F13" s="56">
        <v>3.0</v>
      </c>
      <c r="G13" s="57">
        <f t="shared" si="3"/>
        <v>6</v>
      </c>
      <c r="H13" s="58"/>
      <c r="I13" s="58"/>
      <c r="J13" s="58"/>
      <c r="K13" s="59">
        <v>-1.0</v>
      </c>
      <c r="L13" s="59">
        <v>1.33</v>
      </c>
      <c r="M13" s="59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</row>
    <row r="14">
      <c r="A14" s="51" t="s">
        <v>248</v>
      </c>
      <c r="B14" s="52" t="s">
        <v>222</v>
      </c>
      <c r="C14" s="53">
        <v>2.0</v>
      </c>
      <c r="D14" s="54">
        <f t="shared" si="1"/>
        <v>-1</v>
      </c>
      <c r="E14" s="55">
        <f t="shared" si="2"/>
        <v>5</v>
      </c>
      <c r="F14" s="56">
        <v>1.0</v>
      </c>
      <c r="G14" s="57">
        <f t="shared" si="3"/>
        <v>6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9">
        <v>2.0</v>
      </c>
      <c r="W14" s="58"/>
      <c r="X14" s="58"/>
      <c r="Y14" s="58"/>
      <c r="Z14" s="58"/>
      <c r="AA14" s="58"/>
      <c r="AB14" s="58"/>
      <c r="AC14" s="58"/>
      <c r="AD14" s="58"/>
      <c r="AE14" s="58"/>
      <c r="AF14" s="58"/>
    </row>
    <row r="15">
      <c r="A15" s="51" t="s">
        <v>250</v>
      </c>
      <c r="B15" s="52" t="s">
        <v>222</v>
      </c>
      <c r="C15" s="53">
        <v>2.0</v>
      </c>
      <c r="D15" s="54">
        <f t="shared" si="1"/>
        <v>0</v>
      </c>
      <c r="E15" s="55">
        <f t="shared" si="2"/>
        <v>12</v>
      </c>
      <c r="F15" s="56">
        <v>0.5</v>
      </c>
      <c r="G15" s="57">
        <f t="shared" si="3"/>
        <v>6</v>
      </c>
      <c r="H15" s="58"/>
      <c r="I15" s="58"/>
      <c r="J15" s="58"/>
      <c r="K15" s="58"/>
      <c r="L15" s="59"/>
      <c r="M15" s="58"/>
      <c r="N15" s="58"/>
      <c r="O15" s="58"/>
      <c r="P15" s="58"/>
      <c r="Q15" s="58"/>
      <c r="R15" s="58"/>
      <c r="S15" s="59">
        <v>3.0</v>
      </c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</row>
    <row r="16">
      <c r="A16" s="51" t="s">
        <v>252</v>
      </c>
      <c r="B16" s="52" t="s">
        <v>222</v>
      </c>
      <c r="C16" s="53">
        <v>2.0</v>
      </c>
      <c r="D16" s="54">
        <f t="shared" si="1"/>
        <v>-1.75</v>
      </c>
      <c r="E16" s="55">
        <f t="shared" si="2"/>
        <v>17</v>
      </c>
      <c r="F16" s="56">
        <v>0.25</v>
      </c>
      <c r="G16" s="57">
        <f t="shared" si="3"/>
        <v>6</v>
      </c>
      <c r="H16" s="58"/>
      <c r="I16" s="58"/>
      <c r="J16" s="58"/>
      <c r="K16" s="58"/>
      <c r="L16" s="58"/>
      <c r="M16" s="59">
        <v>4.0</v>
      </c>
      <c r="N16" s="58"/>
      <c r="O16" s="58"/>
      <c r="P16" s="58"/>
      <c r="Q16" s="58"/>
      <c r="R16" s="58"/>
      <c r="S16" s="58"/>
      <c r="T16" s="58"/>
      <c r="U16" s="58"/>
      <c r="V16" s="59">
        <v>2.0</v>
      </c>
      <c r="W16" s="58"/>
      <c r="X16" s="58"/>
      <c r="Y16" s="58"/>
      <c r="Z16" s="58"/>
      <c r="AA16" s="58"/>
      <c r="AB16" s="58"/>
      <c r="AC16" s="58"/>
      <c r="AD16" s="58"/>
      <c r="AE16" s="58"/>
      <c r="AF16" s="58"/>
    </row>
    <row r="17">
      <c r="A17" s="51" t="s">
        <v>254</v>
      </c>
      <c r="B17" s="52" t="s">
        <v>222</v>
      </c>
      <c r="C17" s="53">
        <v>3.0</v>
      </c>
      <c r="D17" s="54">
        <f t="shared" si="1"/>
        <v>0</v>
      </c>
      <c r="E17" s="55">
        <f t="shared" si="2"/>
        <v>9</v>
      </c>
      <c r="F17" s="56">
        <v>1.0</v>
      </c>
      <c r="G17" s="57">
        <f t="shared" si="3"/>
        <v>9</v>
      </c>
      <c r="H17" s="58"/>
      <c r="I17" s="58"/>
      <c r="J17" s="58"/>
      <c r="K17" s="59"/>
      <c r="L17" s="58"/>
      <c r="M17" s="59">
        <v>-1.0</v>
      </c>
      <c r="N17" s="58"/>
      <c r="O17" s="58"/>
      <c r="P17" s="59">
        <v>4.0</v>
      </c>
      <c r="Q17" s="59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</row>
    <row r="18">
      <c r="A18" s="51" t="s">
        <v>256</v>
      </c>
      <c r="B18" s="52" t="s">
        <v>222</v>
      </c>
      <c r="C18" s="53">
        <v>3.0</v>
      </c>
      <c r="D18" s="54">
        <f t="shared" si="1"/>
        <v>-1</v>
      </c>
      <c r="E18" s="55">
        <f t="shared" si="2"/>
        <v>8</v>
      </c>
      <c r="F18" s="56">
        <v>1.0</v>
      </c>
      <c r="G18" s="57">
        <f t="shared" si="3"/>
        <v>9</v>
      </c>
      <c r="H18" s="58"/>
      <c r="I18" s="58"/>
      <c r="J18" s="58"/>
      <c r="K18" s="58"/>
      <c r="L18" s="58"/>
      <c r="M18" s="58"/>
      <c r="N18" s="59">
        <v>2.0</v>
      </c>
      <c r="O18" s="58"/>
      <c r="P18" s="59">
        <v>2.0</v>
      </c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</row>
    <row r="19">
      <c r="A19" s="51" t="s">
        <v>258</v>
      </c>
      <c r="B19" s="52" t="s">
        <v>222</v>
      </c>
      <c r="C19" s="53">
        <v>3.0</v>
      </c>
      <c r="D19" s="54">
        <f t="shared" si="1"/>
        <v>0</v>
      </c>
      <c r="E19" s="55">
        <f t="shared" si="2"/>
        <v>1.5</v>
      </c>
      <c r="F19" s="56">
        <v>6.0</v>
      </c>
      <c r="G19" s="57">
        <f t="shared" si="3"/>
        <v>9</v>
      </c>
      <c r="H19" s="58"/>
      <c r="I19" s="58"/>
      <c r="J19" s="58"/>
      <c r="K19" s="58"/>
      <c r="L19" s="58"/>
      <c r="M19" s="58"/>
      <c r="N19" s="59">
        <v>1.5</v>
      </c>
      <c r="O19" s="59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</row>
    <row r="20">
      <c r="A20" s="51" t="s">
        <v>259</v>
      </c>
      <c r="B20" s="52" t="s">
        <v>222</v>
      </c>
      <c r="C20" s="53">
        <v>3.0</v>
      </c>
      <c r="D20" s="54">
        <f t="shared" si="1"/>
        <v>0</v>
      </c>
      <c r="E20" s="55">
        <f t="shared" si="2"/>
        <v>18</v>
      </c>
      <c r="F20" s="56">
        <v>0.5</v>
      </c>
      <c r="G20" s="57">
        <f t="shared" si="3"/>
        <v>9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9">
        <v>2.0</v>
      </c>
      <c r="S20" s="59">
        <v>2.0</v>
      </c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</row>
    <row r="21">
      <c r="A21" s="51" t="s">
        <v>261</v>
      </c>
      <c r="B21" s="52" t="s">
        <v>222</v>
      </c>
      <c r="C21" s="53">
        <v>4.0</v>
      </c>
      <c r="D21" s="54">
        <f t="shared" si="1"/>
        <v>3.442307692</v>
      </c>
      <c r="E21" s="55">
        <f t="shared" si="2"/>
        <v>2.573717949</v>
      </c>
      <c r="F21" s="56">
        <v>6.0</v>
      </c>
      <c r="G21" s="57">
        <f t="shared" si="3"/>
        <v>12</v>
      </c>
      <c r="H21" s="58"/>
      <c r="I21" s="58"/>
      <c r="J21" s="58"/>
      <c r="K21" s="59">
        <v>-1.0</v>
      </c>
      <c r="L21" s="59"/>
      <c r="M21" s="59"/>
      <c r="N21" s="59"/>
      <c r="O21" s="58"/>
      <c r="P21" s="58"/>
      <c r="Q21" s="58"/>
      <c r="R21" s="58"/>
      <c r="S21" s="58"/>
      <c r="T21" s="59">
        <f t="shared" ref="T21:U21" si="4">0.5 * 1.25</f>
        <v>0.625</v>
      </c>
      <c r="U21" s="59">
        <f t="shared" si="4"/>
        <v>0.625</v>
      </c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</row>
    <row r="22">
      <c r="A22" s="51" t="s">
        <v>264</v>
      </c>
      <c r="B22" s="52" t="s">
        <v>222</v>
      </c>
      <c r="C22" s="53">
        <v>4.0</v>
      </c>
      <c r="D22" s="54">
        <f t="shared" si="1"/>
        <v>-3.525641026</v>
      </c>
      <c r="E22" s="55">
        <f t="shared" si="2"/>
        <v>16.94871795</v>
      </c>
      <c r="F22" s="56">
        <v>0.5</v>
      </c>
      <c r="G22" s="57">
        <f t="shared" si="3"/>
        <v>12</v>
      </c>
      <c r="H22" s="58"/>
      <c r="I22" s="58"/>
      <c r="J22" s="58"/>
      <c r="K22" s="59">
        <v>-1.0</v>
      </c>
      <c r="L22" s="59">
        <v>2.0</v>
      </c>
      <c r="M22" s="59">
        <v>4.0</v>
      </c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</row>
    <row r="23">
      <c r="A23" s="51" t="s">
        <v>266</v>
      </c>
      <c r="B23" s="52" t="s">
        <v>222</v>
      </c>
      <c r="C23" s="53">
        <v>3.0</v>
      </c>
      <c r="D23" s="54">
        <f t="shared" si="1"/>
        <v>2.25</v>
      </c>
      <c r="E23" s="55">
        <f t="shared" si="2"/>
        <v>7.5</v>
      </c>
      <c r="F23" s="56">
        <v>1.5</v>
      </c>
      <c r="G23" s="57">
        <f t="shared" si="3"/>
        <v>9</v>
      </c>
      <c r="H23" s="58"/>
      <c r="I23" s="58"/>
      <c r="J23" s="58"/>
      <c r="K23" s="58"/>
      <c r="L23" s="58"/>
      <c r="M23" s="59">
        <v>-1.0</v>
      </c>
      <c r="N23" s="59">
        <v>2.0</v>
      </c>
      <c r="O23" s="58"/>
      <c r="P23" s="59">
        <v>2.0</v>
      </c>
      <c r="Q23" s="58"/>
      <c r="R23" s="58"/>
      <c r="S23" s="58"/>
      <c r="T23" s="58"/>
      <c r="U23" s="58"/>
      <c r="V23" s="59">
        <v>1.0</v>
      </c>
      <c r="W23" s="58"/>
      <c r="X23" s="58"/>
      <c r="Y23" s="58"/>
      <c r="Z23" s="58"/>
      <c r="AA23" s="58"/>
      <c r="AB23" s="58"/>
      <c r="AC23" s="58"/>
      <c r="AD23" s="58"/>
      <c r="AE23" s="58"/>
      <c r="AF23" s="58"/>
    </row>
    <row r="24">
      <c r="A24" s="51" t="s">
        <v>267</v>
      </c>
      <c r="B24" s="52" t="s">
        <v>222</v>
      </c>
      <c r="C24" s="53">
        <v>4.0</v>
      </c>
      <c r="D24" s="54">
        <f t="shared" si="1"/>
        <v>0</v>
      </c>
      <c r="E24" s="55">
        <f t="shared" si="2"/>
        <v>12</v>
      </c>
      <c r="F24" s="56">
        <v>1.0</v>
      </c>
      <c r="G24" s="57">
        <f t="shared" si="3"/>
        <v>12</v>
      </c>
      <c r="H24" s="59">
        <v>12.0</v>
      </c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</row>
    <row r="25">
      <c r="A25" s="51" t="s">
        <v>269</v>
      </c>
      <c r="B25" s="52" t="s">
        <v>222</v>
      </c>
      <c r="C25" s="53">
        <v>4.0</v>
      </c>
      <c r="D25" s="54">
        <f t="shared" si="1"/>
        <v>0.5</v>
      </c>
      <c r="E25" s="55">
        <f t="shared" si="2"/>
        <v>25</v>
      </c>
      <c r="F25" s="56">
        <v>0.5</v>
      </c>
      <c r="G25" s="57">
        <f t="shared" si="3"/>
        <v>12</v>
      </c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9">
        <v>5.0</v>
      </c>
      <c r="S25" s="59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</row>
    <row r="26">
      <c r="A26" s="51" t="s">
        <v>272</v>
      </c>
      <c r="B26" s="52" t="s">
        <v>222</v>
      </c>
      <c r="C26" s="53">
        <v>2.0</v>
      </c>
      <c r="D26" s="54">
        <f t="shared" si="1"/>
        <v>-1.75</v>
      </c>
      <c r="E26" s="55">
        <f t="shared" si="2"/>
        <v>8.5</v>
      </c>
      <c r="F26" s="56">
        <v>0.5</v>
      </c>
      <c r="G26" s="57">
        <f t="shared" si="3"/>
        <v>6</v>
      </c>
      <c r="H26" s="59">
        <v>6.0</v>
      </c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9">
        <v>1.0</v>
      </c>
      <c r="W26" s="58"/>
      <c r="X26" s="58"/>
      <c r="Y26" s="58"/>
      <c r="Z26" s="58"/>
      <c r="AA26" s="58"/>
      <c r="AB26" s="58"/>
      <c r="AC26" s="58"/>
      <c r="AD26" s="58"/>
      <c r="AE26" s="58"/>
      <c r="AF26" s="58"/>
    </row>
    <row r="27">
      <c r="A27" s="51" t="s">
        <v>274</v>
      </c>
      <c r="B27" s="52" t="s">
        <v>222</v>
      </c>
      <c r="C27" s="53">
        <v>2.0</v>
      </c>
      <c r="D27" s="54">
        <f t="shared" si="1"/>
        <v>-7.653846154</v>
      </c>
      <c r="E27" s="55">
        <f t="shared" si="2"/>
        <v>-1.653846154</v>
      </c>
      <c r="F27" s="56">
        <v>1.0</v>
      </c>
      <c r="G27" s="57">
        <f t="shared" si="3"/>
        <v>6</v>
      </c>
      <c r="H27" s="58"/>
      <c r="I27" s="58"/>
      <c r="J27" s="58"/>
      <c r="K27" s="59">
        <v>-3.0</v>
      </c>
      <c r="L27" s="58"/>
      <c r="M27" s="58"/>
      <c r="N27" s="59"/>
      <c r="O27" s="59">
        <v>5.0</v>
      </c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</row>
    <row r="28">
      <c r="A28" s="51" t="s">
        <v>277</v>
      </c>
      <c r="B28" s="52" t="s">
        <v>222</v>
      </c>
      <c r="C28" s="53">
        <v>2.0</v>
      </c>
      <c r="D28" s="54">
        <f t="shared" si="1"/>
        <v>-0.25</v>
      </c>
      <c r="E28" s="55">
        <f t="shared" si="2"/>
        <v>11.5</v>
      </c>
      <c r="F28" s="56">
        <v>0.5</v>
      </c>
      <c r="G28" s="57">
        <f t="shared" si="3"/>
        <v>6</v>
      </c>
      <c r="H28" s="58"/>
      <c r="I28" s="58"/>
      <c r="J28" s="58"/>
      <c r="K28" s="58"/>
      <c r="L28" s="58"/>
      <c r="M28" s="59">
        <v>3.0</v>
      </c>
      <c r="N28" s="58"/>
      <c r="O28" s="58"/>
      <c r="P28" s="58"/>
      <c r="Q28" s="58"/>
      <c r="R28" s="58"/>
      <c r="S28" s="58"/>
      <c r="T28" s="58"/>
      <c r="U28" s="58"/>
      <c r="V28" s="59">
        <v>1.0</v>
      </c>
      <c r="W28" s="58"/>
      <c r="X28" s="58"/>
      <c r="Y28" s="58"/>
      <c r="Z28" s="58"/>
      <c r="AA28" s="58"/>
      <c r="AB28" s="58"/>
      <c r="AC28" s="58"/>
      <c r="AD28" s="58"/>
      <c r="AE28" s="58"/>
      <c r="AF28" s="58"/>
    </row>
    <row r="29">
      <c r="A29" s="51" t="s">
        <v>279</v>
      </c>
      <c r="B29" s="52" t="s">
        <v>222</v>
      </c>
      <c r="C29" s="53">
        <v>2.0</v>
      </c>
      <c r="D29" s="54">
        <f t="shared" si="1"/>
        <v>0.4743589744</v>
      </c>
      <c r="E29" s="55">
        <f t="shared" si="2"/>
        <v>12.94871795</v>
      </c>
      <c r="F29" s="56">
        <v>0.5</v>
      </c>
      <c r="G29" s="57">
        <f t="shared" si="3"/>
        <v>6</v>
      </c>
      <c r="H29" s="58"/>
      <c r="I29" s="58"/>
      <c r="J29" s="58"/>
      <c r="K29" s="59">
        <v>-1.0</v>
      </c>
      <c r="L29" s="59">
        <v>4.0</v>
      </c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</row>
    <row r="30">
      <c r="A30" s="51" t="s">
        <v>282</v>
      </c>
      <c r="B30" s="52" t="s">
        <v>222</v>
      </c>
      <c r="C30" s="53">
        <v>2.0</v>
      </c>
      <c r="D30" s="54">
        <f t="shared" si="1"/>
        <v>0</v>
      </c>
      <c r="E30" s="55">
        <f t="shared" si="2"/>
        <v>6</v>
      </c>
      <c r="F30" s="56">
        <v>1.0</v>
      </c>
      <c r="G30" s="57">
        <f t="shared" si="3"/>
        <v>6</v>
      </c>
      <c r="H30" s="58"/>
      <c r="I30" s="58"/>
      <c r="J30" s="58"/>
      <c r="K30" s="58"/>
      <c r="L30" s="58"/>
      <c r="M30" s="59">
        <v>2.0</v>
      </c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</row>
    <row r="31">
      <c r="A31" s="51" t="s">
        <v>284</v>
      </c>
      <c r="B31" s="52" t="s">
        <v>222</v>
      </c>
      <c r="C31" s="53">
        <v>2.0</v>
      </c>
      <c r="D31" s="54">
        <f t="shared" si="1"/>
        <v>3</v>
      </c>
      <c r="E31" s="55">
        <f t="shared" si="2"/>
        <v>18</v>
      </c>
      <c r="F31" s="56">
        <v>0.5</v>
      </c>
      <c r="G31" s="57">
        <f t="shared" si="3"/>
        <v>6</v>
      </c>
      <c r="H31" s="58"/>
      <c r="I31" s="58"/>
      <c r="J31" s="58"/>
      <c r="K31" s="58"/>
      <c r="L31" s="58"/>
      <c r="M31" s="58"/>
      <c r="N31" s="58"/>
      <c r="O31" s="59">
        <v>12.0</v>
      </c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</row>
    <row r="32">
      <c r="A32" s="51" t="s">
        <v>286</v>
      </c>
      <c r="B32" s="52" t="s">
        <v>222</v>
      </c>
      <c r="C32" s="53">
        <v>2.0</v>
      </c>
      <c r="D32" s="54">
        <f t="shared" si="1"/>
        <v>0</v>
      </c>
      <c r="E32" s="55">
        <f t="shared" si="2"/>
        <v>6</v>
      </c>
      <c r="F32" s="56">
        <v>1.0</v>
      </c>
      <c r="G32" s="57">
        <f t="shared" si="3"/>
        <v>6</v>
      </c>
      <c r="H32" s="59">
        <v>6.0</v>
      </c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</row>
    <row r="33">
      <c r="A33" s="51" t="s">
        <v>287</v>
      </c>
      <c r="B33" s="52" t="s">
        <v>222</v>
      </c>
      <c r="C33" s="53">
        <v>1.0</v>
      </c>
      <c r="D33" s="54">
        <f t="shared" si="1"/>
        <v>-0.25</v>
      </c>
      <c r="E33" s="55">
        <f t="shared" si="2"/>
        <v>2.75</v>
      </c>
      <c r="F33" s="56">
        <v>1.0</v>
      </c>
      <c r="G33" s="57">
        <f t="shared" si="3"/>
        <v>3</v>
      </c>
      <c r="H33" s="58"/>
      <c r="I33" s="58"/>
      <c r="J33" s="58"/>
      <c r="K33" s="58"/>
      <c r="L33" s="58"/>
      <c r="M33" s="59">
        <v>-2.0</v>
      </c>
      <c r="N33" s="59">
        <v>3.25</v>
      </c>
      <c r="O33" s="58"/>
      <c r="P33" s="58"/>
      <c r="Q33" s="58"/>
      <c r="R33" s="58"/>
      <c r="S33" s="58"/>
      <c r="T33" s="58"/>
      <c r="U33" s="58"/>
      <c r="V33" s="58"/>
      <c r="W33" s="59">
        <v>1.0</v>
      </c>
      <c r="X33" s="58"/>
      <c r="Y33" s="58"/>
      <c r="Z33" s="58"/>
      <c r="AA33" s="58"/>
      <c r="AB33" s="58"/>
      <c r="AC33" s="58"/>
      <c r="AD33" s="58"/>
      <c r="AE33" s="58"/>
      <c r="AF33" s="58"/>
    </row>
    <row r="34">
      <c r="A34" s="51" t="s">
        <v>290</v>
      </c>
      <c r="B34" s="52" t="s">
        <v>222</v>
      </c>
      <c r="C34" s="53">
        <v>2.0</v>
      </c>
      <c r="D34" s="54">
        <f t="shared" si="1"/>
        <v>-0.25</v>
      </c>
      <c r="E34" s="55">
        <f t="shared" si="2"/>
        <v>5.75</v>
      </c>
      <c r="F34" s="56">
        <v>1.0</v>
      </c>
      <c r="G34" s="57">
        <f t="shared" si="3"/>
        <v>6</v>
      </c>
      <c r="H34" s="58"/>
      <c r="I34" s="58"/>
      <c r="J34" s="58"/>
      <c r="K34" s="58"/>
      <c r="L34" s="58"/>
      <c r="M34" s="59">
        <v>-2.0</v>
      </c>
      <c r="N34" s="59">
        <v>6.25</v>
      </c>
      <c r="O34" s="58"/>
      <c r="P34" s="58"/>
      <c r="Q34" s="58"/>
      <c r="R34" s="58"/>
      <c r="S34" s="58"/>
      <c r="T34" s="58"/>
      <c r="U34" s="58"/>
      <c r="V34" s="58"/>
      <c r="W34" s="59">
        <v>1.0</v>
      </c>
      <c r="X34" s="58"/>
      <c r="Y34" s="58"/>
      <c r="Z34" s="58"/>
      <c r="AA34" s="58"/>
      <c r="AB34" s="58"/>
      <c r="AC34" s="58"/>
      <c r="AD34" s="58"/>
      <c r="AE34" s="58"/>
      <c r="AF34" s="58"/>
    </row>
    <row r="35">
      <c r="A35" s="51" t="s">
        <v>293</v>
      </c>
      <c r="B35" s="52" t="s">
        <v>222</v>
      </c>
      <c r="C35" s="53">
        <v>3.0</v>
      </c>
      <c r="D35" s="54">
        <f t="shared" si="1"/>
        <v>-0.5</v>
      </c>
      <c r="E35" s="55">
        <f t="shared" si="2"/>
        <v>8.5</v>
      </c>
      <c r="F35" s="56">
        <v>1.0</v>
      </c>
      <c r="G35" s="57">
        <f t="shared" si="3"/>
        <v>9</v>
      </c>
      <c r="H35" s="58"/>
      <c r="I35" s="58"/>
      <c r="J35" s="58"/>
      <c r="K35" s="58"/>
      <c r="L35" s="58"/>
      <c r="M35" s="59">
        <v>-2.0</v>
      </c>
      <c r="N35" s="59">
        <v>3.5</v>
      </c>
      <c r="O35" s="58"/>
      <c r="P35" s="58"/>
      <c r="Q35" s="58"/>
      <c r="R35" s="58"/>
      <c r="S35" s="58"/>
      <c r="T35" s="58"/>
      <c r="U35" s="58"/>
      <c r="V35" s="58"/>
      <c r="W35" s="59">
        <v>2.0</v>
      </c>
      <c r="X35" s="58"/>
      <c r="Y35" s="58"/>
      <c r="Z35" s="58"/>
      <c r="AA35" s="58"/>
      <c r="AB35" s="58"/>
      <c r="AC35" s="58"/>
      <c r="AD35" s="58"/>
      <c r="AE35" s="58"/>
      <c r="AF35" s="58"/>
    </row>
    <row r="36">
      <c r="A36" s="51" t="s">
        <v>296</v>
      </c>
      <c r="B36" s="52" t="s">
        <v>222</v>
      </c>
      <c r="C36" s="53">
        <v>4.0</v>
      </c>
      <c r="D36" s="54">
        <f t="shared" si="1"/>
        <v>-0.5</v>
      </c>
      <c r="E36" s="55">
        <f t="shared" si="2"/>
        <v>11.5</v>
      </c>
      <c r="F36" s="56">
        <v>1.0</v>
      </c>
      <c r="G36" s="57">
        <f t="shared" si="3"/>
        <v>12</v>
      </c>
      <c r="H36" s="58"/>
      <c r="I36" s="58"/>
      <c r="J36" s="58"/>
      <c r="K36" s="58"/>
      <c r="L36" s="58"/>
      <c r="M36" s="59">
        <v>-2.0</v>
      </c>
      <c r="N36" s="59">
        <v>6.5</v>
      </c>
      <c r="O36" s="58"/>
      <c r="P36" s="58"/>
      <c r="Q36" s="58"/>
      <c r="R36" s="58"/>
      <c r="S36" s="58"/>
      <c r="T36" s="58"/>
      <c r="U36" s="58"/>
      <c r="V36" s="58"/>
      <c r="W36" s="59">
        <v>2.0</v>
      </c>
      <c r="X36" s="58"/>
      <c r="Y36" s="58"/>
      <c r="Z36" s="58"/>
      <c r="AA36" s="58"/>
      <c r="AB36" s="58"/>
      <c r="AC36" s="58"/>
      <c r="AD36" s="58"/>
      <c r="AE36" s="58"/>
      <c r="AF36" s="58"/>
    </row>
    <row r="37">
      <c r="A37" s="51" t="s">
        <v>299</v>
      </c>
      <c r="B37" s="52" t="s">
        <v>222</v>
      </c>
      <c r="C37" s="53">
        <v>1.0</v>
      </c>
      <c r="D37" s="54">
        <f t="shared" si="1"/>
        <v>-1</v>
      </c>
      <c r="E37" s="55">
        <f t="shared" si="2"/>
        <v>2</v>
      </c>
      <c r="F37" s="56">
        <v>1.0</v>
      </c>
      <c r="G37" s="57">
        <f t="shared" si="3"/>
        <v>3</v>
      </c>
      <c r="H37" s="58"/>
      <c r="I37" s="59">
        <v>2.0</v>
      </c>
      <c r="J37" s="58"/>
      <c r="K37" s="58"/>
      <c r="L37" s="58"/>
      <c r="M37" s="59">
        <v>-1.0</v>
      </c>
      <c r="N37" s="59">
        <v>3.0</v>
      </c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</row>
    <row r="38">
      <c r="A38" s="51" t="s">
        <v>302</v>
      </c>
      <c r="B38" s="52" t="s">
        <v>222</v>
      </c>
      <c r="C38" s="53">
        <v>1.0</v>
      </c>
      <c r="D38" s="54">
        <f t="shared" si="1"/>
        <v>0</v>
      </c>
      <c r="E38" s="55">
        <f t="shared" si="2"/>
        <v>3</v>
      </c>
      <c r="F38" s="56">
        <v>1.0</v>
      </c>
      <c r="G38" s="57">
        <f t="shared" si="3"/>
        <v>3</v>
      </c>
      <c r="H38" s="58"/>
      <c r="I38" s="58"/>
      <c r="J38" s="58"/>
      <c r="K38" s="58"/>
      <c r="L38" s="58"/>
      <c r="M38" s="59">
        <v>1.0</v>
      </c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</row>
    <row r="39">
      <c r="A39" s="51" t="s">
        <v>304</v>
      </c>
      <c r="B39" s="52" t="s">
        <v>222</v>
      </c>
      <c r="C39" s="53">
        <v>2.0</v>
      </c>
      <c r="D39" s="54">
        <f t="shared" si="1"/>
        <v>0</v>
      </c>
      <c r="E39" s="55">
        <f t="shared" si="2"/>
        <v>6</v>
      </c>
      <c r="F39" s="56">
        <v>1.0</v>
      </c>
      <c r="G39" s="57">
        <f t="shared" si="3"/>
        <v>6</v>
      </c>
      <c r="H39" s="58"/>
      <c r="I39" s="58"/>
      <c r="J39" s="58"/>
      <c r="K39" s="58"/>
      <c r="L39" s="58"/>
      <c r="M39" s="59">
        <v>2.0</v>
      </c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</row>
    <row r="40">
      <c r="A40" s="51" t="s">
        <v>308</v>
      </c>
      <c r="B40" s="52" t="s">
        <v>222</v>
      </c>
      <c r="C40" s="53">
        <v>2.0</v>
      </c>
      <c r="D40" s="54">
        <f t="shared" si="1"/>
        <v>-0.1025641026</v>
      </c>
      <c r="E40" s="55">
        <f t="shared" si="2"/>
        <v>2.948717949</v>
      </c>
      <c r="F40" s="56">
        <v>2.0</v>
      </c>
      <c r="G40" s="57">
        <f t="shared" si="3"/>
        <v>6</v>
      </c>
      <c r="H40" s="58"/>
      <c r="I40" s="59">
        <v>6.0</v>
      </c>
      <c r="J40" s="58"/>
      <c r="K40" s="59">
        <v>-1.0</v>
      </c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</row>
    <row r="41">
      <c r="A41" s="51" t="s">
        <v>318</v>
      </c>
      <c r="B41" s="52" t="s">
        <v>222</v>
      </c>
      <c r="C41" s="53">
        <v>2.0</v>
      </c>
      <c r="D41" s="54">
        <f t="shared" si="1"/>
        <v>-1.102564103</v>
      </c>
      <c r="E41" s="55">
        <f t="shared" si="2"/>
        <v>2.448717949</v>
      </c>
      <c r="F41" s="56">
        <v>2.0</v>
      </c>
      <c r="G41" s="57">
        <f t="shared" si="3"/>
        <v>6</v>
      </c>
      <c r="H41" s="58"/>
      <c r="I41" s="58"/>
      <c r="J41" s="59">
        <v>1.0</v>
      </c>
      <c r="K41" s="59">
        <v>-1.0</v>
      </c>
      <c r="L41" s="58"/>
      <c r="M41" s="58"/>
      <c r="N41" s="59">
        <v>1.0</v>
      </c>
      <c r="O41" s="58"/>
      <c r="P41" s="58"/>
      <c r="Q41" s="58"/>
      <c r="R41" s="58"/>
      <c r="S41" s="58"/>
      <c r="T41" s="58"/>
      <c r="U41" s="58"/>
      <c r="V41" s="59">
        <v>1.0</v>
      </c>
      <c r="W41" s="58"/>
      <c r="X41" s="58"/>
      <c r="Y41" s="58"/>
      <c r="Z41" s="58"/>
      <c r="AA41" s="58"/>
      <c r="AB41" s="58"/>
      <c r="AC41" s="58"/>
      <c r="AD41" s="58"/>
      <c r="AE41" s="58"/>
      <c r="AF41" s="58"/>
    </row>
    <row r="42">
      <c r="A42" s="51" t="s">
        <v>325</v>
      </c>
      <c r="B42" s="52" t="s">
        <v>222</v>
      </c>
      <c r="C42" s="53">
        <v>3.0</v>
      </c>
      <c r="D42" s="54">
        <f t="shared" si="1"/>
        <v>-0.05128205128</v>
      </c>
      <c r="E42" s="55">
        <f t="shared" si="2"/>
        <v>8.948717949</v>
      </c>
      <c r="F42" s="56">
        <v>1.0</v>
      </c>
      <c r="G42" s="57">
        <f t="shared" si="3"/>
        <v>9</v>
      </c>
      <c r="H42" s="58"/>
      <c r="I42" s="59">
        <v>6.0</v>
      </c>
      <c r="J42" s="59">
        <v>3.0</v>
      </c>
      <c r="K42" s="59">
        <v>-1.0</v>
      </c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</row>
    <row r="43">
      <c r="A43" s="51" t="s">
        <v>328</v>
      </c>
      <c r="B43" s="52" t="s">
        <v>222</v>
      </c>
      <c r="C43" s="53">
        <v>1.0</v>
      </c>
      <c r="D43" s="54">
        <f t="shared" si="1"/>
        <v>0.5</v>
      </c>
      <c r="E43" s="55">
        <f t="shared" si="2"/>
        <v>3.5</v>
      </c>
      <c r="F43" s="56">
        <v>1.0</v>
      </c>
      <c r="G43" s="57">
        <f t="shared" si="3"/>
        <v>3</v>
      </c>
      <c r="H43" s="58"/>
      <c r="I43" s="59"/>
      <c r="J43" s="59">
        <v>2.0</v>
      </c>
      <c r="K43" s="58"/>
      <c r="L43" s="58"/>
      <c r="M43" s="59">
        <v>-2.0</v>
      </c>
      <c r="N43" s="58"/>
      <c r="O43" s="58"/>
      <c r="P43" s="58"/>
      <c r="Q43" s="58"/>
      <c r="R43" s="58"/>
      <c r="S43" s="58"/>
      <c r="T43" s="58"/>
      <c r="U43" s="58"/>
      <c r="V43" s="58"/>
      <c r="W43" s="59">
        <v>1.0</v>
      </c>
      <c r="X43" s="58"/>
      <c r="Y43" s="58"/>
      <c r="Z43" s="58"/>
      <c r="AA43" s="58"/>
      <c r="AB43" s="58"/>
      <c r="AC43" s="58"/>
      <c r="AD43" s="58"/>
      <c r="AE43" s="58"/>
      <c r="AF43" s="58"/>
    </row>
    <row r="44">
      <c r="A44" s="51" t="s">
        <v>330</v>
      </c>
      <c r="B44" s="52" t="s">
        <v>222</v>
      </c>
      <c r="C44" s="53">
        <v>2.0</v>
      </c>
      <c r="D44" s="54">
        <f t="shared" si="1"/>
        <v>1.5</v>
      </c>
      <c r="E44" s="55">
        <f t="shared" si="2"/>
        <v>7.5</v>
      </c>
      <c r="F44" s="56">
        <v>1.0</v>
      </c>
      <c r="G44" s="57">
        <f t="shared" si="3"/>
        <v>6</v>
      </c>
      <c r="H44" s="58"/>
      <c r="I44" s="59"/>
      <c r="J44" s="59">
        <v>4.0</v>
      </c>
      <c r="K44" s="58"/>
      <c r="L44" s="58"/>
      <c r="M44" s="59">
        <v>-2.0</v>
      </c>
      <c r="N44" s="58"/>
      <c r="O44" s="58"/>
      <c r="P44" s="58"/>
      <c r="Q44" s="58"/>
      <c r="R44" s="58"/>
      <c r="S44" s="58"/>
      <c r="T44" s="58"/>
      <c r="U44" s="58"/>
      <c r="V44" s="58"/>
      <c r="W44" s="59">
        <v>1.0</v>
      </c>
      <c r="X44" s="58"/>
      <c r="Y44" s="58"/>
      <c r="Z44" s="58"/>
      <c r="AA44" s="58"/>
      <c r="AB44" s="58"/>
      <c r="AC44" s="58"/>
      <c r="AD44" s="58"/>
      <c r="AE44" s="58"/>
      <c r="AF44" s="58"/>
    </row>
    <row r="45">
      <c r="A45" s="51" t="s">
        <v>340</v>
      </c>
      <c r="B45" s="52" t="s">
        <v>222</v>
      </c>
      <c r="C45" s="53">
        <v>3.0</v>
      </c>
      <c r="D45" s="54">
        <f t="shared" si="1"/>
        <v>0</v>
      </c>
      <c r="E45" s="55">
        <f t="shared" si="2"/>
        <v>9</v>
      </c>
      <c r="F45" s="56">
        <v>1.0</v>
      </c>
      <c r="G45" s="57">
        <f t="shared" si="3"/>
        <v>9</v>
      </c>
      <c r="H45" s="58"/>
      <c r="I45" s="59"/>
      <c r="J45" s="59">
        <v>2.0</v>
      </c>
      <c r="K45" s="58"/>
      <c r="L45" s="58"/>
      <c r="M45" s="59">
        <v>-2.0</v>
      </c>
      <c r="N45" s="58"/>
      <c r="O45" s="58"/>
      <c r="P45" s="58"/>
      <c r="Q45" s="58"/>
      <c r="R45" s="58"/>
      <c r="S45" s="58"/>
      <c r="T45" s="58"/>
      <c r="U45" s="58"/>
      <c r="V45" s="58"/>
      <c r="W45" s="59">
        <v>2.0</v>
      </c>
      <c r="X45" s="58"/>
      <c r="Y45" s="58"/>
      <c r="Z45" s="58"/>
      <c r="AA45" s="58"/>
      <c r="AB45" s="58"/>
      <c r="AC45" s="58"/>
      <c r="AD45" s="58"/>
      <c r="AE45" s="58"/>
      <c r="AF45" s="58"/>
    </row>
    <row r="46">
      <c r="A46" s="51" t="s">
        <v>343</v>
      </c>
      <c r="B46" s="52" t="s">
        <v>222</v>
      </c>
      <c r="C46" s="53">
        <v>4.0</v>
      </c>
      <c r="D46" s="54">
        <f t="shared" si="1"/>
        <v>1</v>
      </c>
      <c r="E46" s="55">
        <f t="shared" si="2"/>
        <v>13</v>
      </c>
      <c r="F46" s="56">
        <v>1.0</v>
      </c>
      <c r="G46" s="57">
        <f t="shared" si="3"/>
        <v>12</v>
      </c>
      <c r="H46" s="58"/>
      <c r="I46" s="59"/>
      <c r="J46" s="59">
        <v>4.0</v>
      </c>
      <c r="K46" s="58"/>
      <c r="L46" s="58"/>
      <c r="M46" s="59">
        <v>-2.0</v>
      </c>
      <c r="N46" s="58"/>
      <c r="O46" s="58"/>
      <c r="P46" s="58"/>
      <c r="Q46" s="58"/>
      <c r="R46" s="58"/>
      <c r="S46" s="58"/>
      <c r="T46" s="58"/>
      <c r="U46" s="58"/>
      <c r="V46" s="58"/>
      <c r="W46" s="59">
        <v>2.0</v>
      </c>
      <c r="X46" s="58"/>
      <c r="Y46" s="58"/>
      <c r="Z46" s="58"/>
      <c r="AA46" s="58"/>
      <c r="AB46" s="58"/>
      <c r="AC46" s="58"/>
      <c r="AD46" s="58"/>
      <c r="AE46" s="58"/>
      <c r="AF46" s="58"/>
    </row>
    <row r="47">
      <c r="A47" s="51" t="s">
        <v>349</v>
      </c>
      <c r="B47" s="52" t="s">
        <v>222</v>
      </c>
      <c r="C47" s="53">
        <v>1.0</v>
      </c>
      <c r="D47" s="54">
        <f t="shared" si="1"/>
        <v>5.5</v>
      </c>
      <c r="E47" s="55">
        <f t="shared" si="2"/>
        <v>8.5</v>
      </c>
      <c r="F47" s="56">
        <v>1.0</v>
      </c>
      <c r="G47" s="57">
        <f t="shared" si="3"/>
        <v>3</v>
      </c>
      <c r="H47" s="58"/>
      <c r="I47" s="58"/>
      <c r="J47" s="59">
        <v>3.0</v>
      </c>
      <c r="K47" s="58"/>
      <c r="L47" s="58"/>
      <c r="M47" s="59">
        <v>-1.0</v>
      </c>
      <c r="N47" s="58"/>
      <c r="O47" s="58"/>
      <c r="P47" s="58"/>
      <c r="Q47" s="58"/>
      <c r="R47" s="58"/>
      <c r="S47" s="58"/>
      <c r="T47" s="58"/>
      <c r="U47" s="58"/>
      <c r="V47" s="58"/>
      <c r="W47" s="59">
        <v>1.0</v>
      </c>
      <c r="X47" s="58"/>
      <c r="Y47" s="58"/>
      <c r="Z47" s="58"/>
      <c r="AA47" s="58"/>
      <c r="AB47" s="58"/>
      <c r="AC47" s="58"/>
      <c r="AD47" s="58"/>
      <c r="AE47" s="58"/>
      <c r="AF47" s="58"/>
    </row>
    <row r="48">
      <c r="A48" s="51" t="s">
        <v>355</v>
      </c>
      <c r="B48" s="52" t="s">
        <v>222</v>
      </c>
      <c r="C48" s="53">
        <v>1.0</v>
      </c>
      <c r="D48" s="54">
        <f t="shared" si="1"/>
        <v>-1</v>
      </c>
      <c r="E48" s="55">
        <f t="shared" si="2"/>
        <v>2</v>
      </c>
      <c r="F48" s="56">
        <v>1.0</v>
      </c>
      <c r="G48" s="57">
        <f t="shared" si="3"/>
        <v>3</v>
      </c>
      <c r="H48" s="58"/>
      <c r="I48" s="59">
        <v>2.0</v>
      </c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</row>
    <row r="49">
      <c r="A49" s="51" t="s">
        <v>361</v>
      </c>
      <c r="B49" s="52" t="s">
        <v>222</v>
      </c>
      <c r="C49" s="53">
        <v>2.0</v>
      </c>
      <c r="D49" s="54">
        <f t="shared" si="1"/>
        <v>-0.1025641026</v>
      </c>
      <c r="E49" s="55">
        <f t="shared" si="2"/>
        <v>2.948717949</v>
      </c>
      <c r="F49" s="56">
        <v>2.0</v>
      </c>
      <c r="G49" s="57">
        <f t="shared" si="3"/>
        <v>6</v>
      </c>
      <c r="H49" s="59">
        <v>6.0</v>
      </c>
      <c r="I49" s="59"/>
      <c r="J49" s="58"/>
      <c r="K49" s="59">
        <v>-1.0</v>
      </c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</row>
    <row r="50">
      <c r="A50" s="51" t="s">
        <v>367</v>
      </c>
      <c r="B50" s="52" t="s">
        <v>222</v>
      </c>
      <c r="C50" s="53">
        <v>2.0</v>
      </c>
      <c r="D50" s="54">
        <f t="shared" si="1"/>
        <v>-0.2051282051</v>
      </c>
      <c r="E50" s="55">
        <f t="shared" si="2"/>
        <v>2.897435897</v>
      </c>
      <c r="F50" s="56">
        <v>2.0</v>
      </c>
      <c r="G50" s="57">
        <f t="shared" si="3"/>
        <v>6</v>
      </c>
      <c r="H50" s="59">
        <v>9.0</v>
      </c>
      <c r="I50" s="59"/>
      <c r="J50" s="58"/>
      <c r="K50" s="59">
        <v>-2.0</v>
      </c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  <c r="AC50" s="58"/>
      <c r="AD50" s="58"/>
      <c r="AE50" s="58"/>
      <c r="AF50" s="58"/>
    </row>
    <row r="51">
      <c r="A51" s="51" t="s">
        <v>371</v>
      </c>
      <c r="B51" s="52" t="s">
        <v>222</v>
      </c>
      <c r="C51" s="53">
        <v>2.0</v>
      </c>
      <c r="D51" s="54">
        <f t="shared" si="1"/>
        <v>-0.3076923077</v>
      </c>
      <c r="E51" s="55">
        <f t="shared" si="2"/>
        <v>2.846153846</v>
      </c>
      <c r="F51" s="56">
        <v>2.0</v>
      </c>
      <c r="G51" s="57">
        <f t="shared" si="3"/>
        <v>6</v>
      </c>
      <c r="H51" s="59">
        <v>12.0</v>
      </c>
      <c r="I51" s="59"/>
      <c r="J51" s="58"/>
      <c r="K51" s="59">
        <v>-3.0</v>
      </c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  <c r="AC51" s="58"/>
      <c r="AD51" s="58"/>
      <c r="AE51" s="58"/>
      <c r="AF51" s="58"/>
    </row>
    <row r="52">
      <c r="A52" s="51" t="s">
        <v>378</v>
      </c>
      <c r="B52" s="52" t="s">
        <v>222</v>
      </c>
      <c r="C52" s="53">
        <v>3.0</v>
      </c>
      <c r="D52" s="54">
        <f t="shared" si="1"/>
        <v>1.5</v>
      </c>
      <c r="E52" s="55">
        <f t="shared" si="2"/>
        <v>10.5</v>
      </c>
      <c r="F52" s="56">
        <v>1.0</v>
      </c>
      <c r="G52" s="57">
        <f t="shared" si="3"/>
        <v>9</v>
      </c>
      <c r="H52" s="59"/>
      <c r="I52" s="58"/>
      <c r="J52" s="58"/>
      <c r="K52" s="58"/>
      <c r="L52" s="58"/>
      <c r="M52" s="59">
        <v>-2.0</v>
      </c>
      <c r="N52" s="58"/>
      <c r="O52" s="58"/>
      <c r="P52" s="58"/>
      <c r="Q52" s="58"/>
      <c r="R52" s="58"/>
      <c r="S52" s="58"/>
      <c r="T52" s="58"/>
      <c r="U52" s="58"/>
      <c r="V52" s="58"/>
      <c r="W52" s="59">
        <v>3.0</v>
      </c>
      <c r="X52" s="58"/>
      <c r="Y52" s="58"/>
      <c r="Z52" s="58"/>
      <c r="AA52" s="58"/>
      <c r="AB52" s="58"/>
      <c r="AC52" s="58"/>
      <c r="AD52" s="58"/>
      <c r="AE52" s="58"/>
      <c r="AF52" s="58"/>
    </row>
    <row r="53">
      <c r="A53" s="51" t="s">
        <v>383</v>
      </c>
      <c r="B53" s="52" t="s">
        <v>222</v>
      </c>
      <c r="C53" s="53">
        <v>4.0</v>
      </c>
      <c r="D53" s="54">
        <f t="shared" si="1"/>
        <v>-6</v>
      </c>
      <c r="E53" s="55">
        <f t="shared" si="2"/>
        <v>6</v>
      </c>
      <c r="F53" s="56">
        <v>1.0</v>
      </c>
      <c r="G53" s="57">
        <f t="shared" si="3"/>
        <v>12</v>
      </c>
      <c r="H53" s="59">
        <v>12.0</v>
      </c>
      <c r="I53" s="58"/>
      <c r="J53" s="58"/>
      <c r="K53" s="58"/>
      <c r="L53" s="58"/>
      <c r="M53" s="59">
        <v>-2.0</v>
      </c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</row>
    <row r="54">
      <c r="A54" s="51" t="s">
        <v>386</v>
      </c>
      <c r="B54" s="52" t="s">
        <v>222</v>
      </c>
      <c r="C54" s="53">
        <v>4.0</v>
      </c>
      <c r="D54" s="54">
        <f t="shared" si="1"/>
        <v>6</v>
      </c>
      <c r="E54" s="55">
        <f t="shared" si="2"/>
        <v>18</v>
      </c>
      <c r="F54" s="56">
        <v>1.0</v>
      </c>
      <c r="G54" s="57">
        <f t="shared" si="3"/>
        <v>12</v>
      </c>
      <c r="H54" s="58"/>
      <c r="I54" s="58"/>
      <c r="J54" s="58"/>
      <c r="K54" s="58"/>
      <c r="L54" s="59">
        <f>3 * 2</f>
        <v>6</v>
      </c>
      <c r="M54" s="59">
        <v>-2.0</v>
      </c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</row>
    <row r="55">
      <c r="A55" s="51" t="s">
        <v>389</v>
      </c>
      <c r="B55" s="52" t="s">
        <v>222</v>
      </c>
      <c r="C55" s="53">
        <v>2.0</v>
      </c>
      <c r="D55" s="54">
        <f t="shared" si="1"/>
        <v>0.25</v>
      </c>
      <c r="E55" s="55">
        <f t="shared" si="2"/>
        <v>2.5</v>
      </c>
      <c r="F55" s="56">
        <f>Baseline!C21/Baseline!C2</f>
        <v>2.5</v>
      </c>
      <c r="G55" s="57">
        <f t="shared" si="3"/>
        <v>6</v>
      </c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9">
        <v>1.0</v>
      </c>
      <c r="W55" s="58"/>
      <c r="X55" s="58"/>
      <c r="Y55" s="58"/>
      <c r="Z55" s="58"/>
      <c r="AA55" s="58"/>
      <c r="AB55" s="58"/>
      <c r="AC55" s="58"/>
      <c r="AD55" s="58"/>
      <c r="AE55" s="58"/>
      <c r="AF55" s="58"/>
    </row>
    <row r="56">
      <c r="A56" s="51" t="s">
        <v>390</v>
      </c>
      <c r="B56" s="52" t="s">
        <v>222</v>
      </c>
      <c r="C56" s="53">
        <v>2.0</v>
      </c>
      <c r="D56" s="54">
        <f t="shared" si="1"/>
        <v>0.75</v>
      </c>
      <c r="E56" s="55">
        <f t="shared" si="2"/>
        <v>1.125</v>
      </c>
      <c r="F56" s="56">
        <v>6.0</v>
      </c>
      <c r="G56" s="57">
        <f t="shared" si="3"/>
        <v>6</v>
      </c>
      <c r="H56" s="58"/>
      <c r="I56" s="59">
        <v>-0.5</v>
      </c>
      <c r="J56" s="59"/>
      <c r="K56" s="58"/>
      <c r="L56" s="59"/>
      <c r="M56" s="58"/>
      <c r="N56" s="59">
        <v>1.0</v>
      </c>
      <c r="O56" s="58"/>
      <c r="P56" s="58"/>
      <c r="Q56" s="58"/>
      <c r="R56" s="58"/>
      <c r="S56" s="58"/>
      <c r="T56" s="58"/>
      <c r="U56" s="58"/>
      <c r="V56" s="59">
        <v>0.25</v>
      </c>
      <c r="W56" s="58"/>
      <c r="X56" s="58"/>
      <c r="Y56" s="58"/>
      <c r="Z56" s="58"/>
      <c r="AA56" s="58"/>
      <c r="AB56" s="58"/>
      <c r="AC56" s="58"/>
      <c r="AD56" s="58"/>
      <c r="AE56" s="58"/>
      <c r="AF56" s="58"/>
    </row>
    <row r="57">
      <c r="A57" s="51" t="s">
        <v>393</v>
      </c>
      <c r="B57" s="52" t="s">
        <v>222</v>
      </c>
      <c r="C57" s="53">
        <v>2.0</v>
      </c>
      <c r="D57" s="54">
        <f t="shared" si="1"/>
        <v>0.84</v>
      </c>
      <c r="E57" s="55">
        <f t="shared" si="2"/>
        <v>1.14</v>
      </c>
      <c r="F57" s="56">
        <v>6.0</v>
      </c>
      <c r="G57" s="57">
        <f t="shared" si="3"/>
        <v>6</v>
      </c>
      <c r="H57" s="58"/>
      <c r="I57" s="58"/>
      <c r="J57" s="59">
        <v>0.25</v>
      </c>
      <c r="K57" s="58"/>
      <c r="L57" s="58"/>
      <c r="M57" s="58"/>
      <c r="N57" s="58"/>
      <c r="O57" s="58"/>
      <c r="P57" s="58"/>
      <c r="Q57" s="59">
        <v>1.0</v>
      </c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</row>
    <row r="58">
      <c r="A58" s="51" t="s">
        <v>395</v>
      </c>
      <c r="B58" s="52" t="s">
        <v>222</v>
      </c>
      <c r="C58" s="53">
        <v>2.0</v>
      </c>
      <c r="D58" s="54">
        <f t="shared" si="1"/>
        <v>-1</v>
      </c>
      <c r="E58" s="55">
        <f t="shared" si="2"/>
        <v>1</v>
      </c>
      <c r="F58" s="56">
        <v>5.0</v>
      </c>
      <c r="G58" s="57">
        <f t="shared" si="3"/>
        <v>6</v>
      </c>
      <c r="H58" s="58"/>
      <c r="I58" s="59">
        <v>1.0</v>
      </c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</row>
    <row r="59">
      <c r="A59" s="51" t="s">
        <v>398</v>
      </c>
      <c r="B59" s="52" t="s">
        <v>222</v>
      </c>
      <c r="C59" s="53">
        <v>2.0</v>
      </c>
      <c r="D59" s="54">
        <f t="shared" si="1"/>
        <v>0</v>
      </c>
      <c r="E59" s="55">
        <f t="shared" si="2"/>
        <v>1.5</v>
      </c>
      <c r="F59" s="56">
        <v>4.0</v>
      </c>
      <c r="G59" s="57">
        <f t="shared" si="3"/>
        <v>6</v>
      </c>
      <c r="H59" s="58"/>
      <c r="I59" s="58"/>
      <c r="J59" s="58"/>
      <c r="K59" s="58"/>
      <c r="L59" s="58"/>
      <c r="M59" s="59">
        <v>0.5</v>
      </c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</row>
    <row r="60">
      <c r="A60" s="51" t="s">
        <v>399</v>
      </c>
      <c r="B60" s="52" t="s">
        <v>222</v>
      </c>
      <c r="C60" s="53">
        <v>2.0</v>
      </c>
      <c r="D60" s="54">
        <f t="shared" si="1"/>
        <v>-1</v>
      </c>
      <c r="E60" s="55">
        <f t="shared" si="2"/>
        <v>2</v>
      </c>
      <c r="F60" s="56">
        <v>2.5</v>
      </c>
      <c r="G60" s="57">
        <f t="shared" si="3"/>
        <v>6</v>
      </c>
      <c r="H60" s="58"/>
      <c r="I60" s="59">
        <v>-2.0</v>
      </c>
      <c r="J60" s="58"/>
      <c r="K60" s="58"/>
      <c r="L60" s="58"/>
      <c r="M60" s="59">
        <v>-0.5</v>
      </c>
      <c r="N60" s="58"/>
      <c r="O60" s="58"/>
      <c r="P60" s="58"/>
      <c r="Q60" s="58"/>
      <c r="R60" s="58"/>
      <c r="S60" s="58"/>
      <c r="T60" s="58"/>
      <c r="U60" s="58"/>
      <c r="V60" s="58"/>
      <c r="W60" s="59">
        <v>1.0</v>
      </c>
      <c r="X60" s="58"/>
      <c r="Y60" s="58"/>
      <c r="Z60" s="58"/>
      <c r="AA60" s="58"/>
      <c r="AB60" s="58"/>
      <c r="AC60" s="58"/>
      <c r="AD60" s="58"/>
      <c r="AE60" s="58"/>
      <c r="AF60" s="58"/>
    </row>
    <row r="61">
      <c r="A61" s="51" t="s">
        <v>400</v>
      </c>
      <c r="B61" s="52" t="s">
        <v>222</v>
      </c>
      <c r="C61" s="53">
        <v>2.0</v>
      </c>
      <c r="D61" s="54">
        <f t="shared" si="1"/>
        <v>0</v>
      </c>
      <c r="E61" s="55">
        <f t="shared" si="2"/>
        <v>1</v>
      </c>
      <c r="F61" s="56">
        <v>6.0</v>
      </c>
      <c r="G61" s="57">
        <f t="shared" si="3"/>
        <v>6</v>
      </c>
      <c r="H61" s="58"/>
      <c r="I61" s="59">
        <v>-2.0</v>
      </c>
      <c r="J61" s="59">
        <v>1.5</v>
      </c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</row>
    <row r="62">
      <c r="A62" s="51" t="s">
        <v>402</v>
      </c>
      <c r="B62" s="52" t="s">
        <v>222</v>
      </c>
      <c r="C62" s="53">
        <v>2.0</v>
      </c>
      <c r="D62" s="54">
        <f t="shared" si="1"/>
        <v>4</v>
      </c>
      <c r="E62" s="55">
        <f t="shared" si="2"/>
        <v>2.5</v>
      </c>
      <c r="F62" s="56">
        <v>4.0</v>
      </c>
      <c r="G62" s="57">
        <f t="shared" si="3"/>
        <v>6</v>
      </c>
      <c r="H62" s="58"/>
      <c r="I62" s="59">
        <v>-1.0</v>
      </c>
      <c r="J62" s="58"/>
      <c r="K62" s="58"/>
      <c r="L62" s="58"/>
      <c r="M62" s="59">
        <v>-1.0</v>
      </c>
      <c r="N62" s="59">
        <v>1.0</v>
      </c>
      <c r="O62" s="58"/>
      <c r="P62" s="58"/>
      <c r="Q62" s="58"/>
      <c r="R62" s="58"/>
      <c r="S62" s="58"/>
      <c r="T62" s="58"/>
      <c r="U62" s="58"/>
      <c r="V62" s="58"/>
      <c r="W62" s="59">
        <v>1.0</v>
      </c>
      <c r="X62" s="58"/>
      <c r="Y62" s="58"/>
      <c r="Z62" s="58"/>
      <c r="AA62" s="58"/>
      <c r="AB62" s="58"/>
      <c r="AC62" s="58"/>
      <c r="AD62" s="58"/>
      <c r="AE62" s="58"/>
      <c r="AF62" s="58"/>
    </row>
    <row r="63">
      <c r="A63" s="51" t="s">
        <v>404</v>
      </c>
      <c r="B63" s="52" t="s">
        <v>222</v>
      </c>
      <c r="C63" s="53">
        <v>3.0</v>
      </c>
      <c r="D63" s="54">
        <f t="shared" si="1"/>
        <v>2</v>
      </c>
      <c r="E63" s="55">
        <f t="shared" si="2"/>
        <v>5.5</v>
      </c>
      <c r="F63" s="56">
        <v>2.0</v>
      </c>
      <c r="G63" s="57">
        <f t="shared" si="3"/>
        <v>9</v>
      </c>
      <c r="H63" s="58"/>
      <c r="I63" s="58"/>
      <c r="J63" s="58"/>
      <c r="K63" s="58"/>
      <c r="L63" s="58"/>
      <c r="M63" s="59"/>
      <c r="N63" s="58"/>
      <c r="O63" s="58"/>
      <c r="P63" s="58"/>
      <c r="Q63" s="58"/>
      <c r="R63" s="58"/>
      <c r="S63" s="58"/>
      <c r="T63" s="58"/>
      <c r="U63" s="58"/>
      <c r="V63" s="58"/>
      <c r="W63" s="59">
        <v>1.0</v>
      </c>
      <c r="X63" s="58"/>
      <c r="Y63" s="58"/>
      <c r="Z63" s="58"/>
      <c r="AA63" s="58"/>
      <c r="AB63" s="58"/>
      <c r="AC63" s="58"/>
      <c r="AD63" s="58"/>
      <c r="AE63" s="58"/>
      <c r="AF63" s="58"/>
    </row>
    <row r="64">
      <c r="A64" s="51" t="s">
        <v>407</v>
      </c>
      <c r="B64" s="52" t="s">
        <v>222</v>
      </c>
      <c r="C64" s="53">
        <v>3.0</v>
      </c>
      <c r="D64" s="54">
        <f t="shared" si="1"/>
        <v>-1</v>
      </c>
      <c r="E64" s="55">
        <f t="shared" si="2"/>
        <v>2</v>
      </c>
      <c r="F64" s="56">
        <v>4.0</v>
      </c>
      <c r="G64" s="57">
        <f t="shared" si="3"/>
        <v>9</v>
      </c>
      <c r="H64" s="58"/>
      <c r="I64" s="58"/>
      <c r="J64" s="58"/>
      <c r="K64" s="58"/>
      <c r="L64" s="58"/>
      <c r="M64" s="58"/>
      <c r="N64" s="59"/>
      <c r="O64" s="58"/>
      <c r="P64" s="59">
        <f>2/3</f>
        <v>0.6666666667</v>
      </c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</row>
    <row r="65">
      <c r="A65" s="51" t="s">
        <v>410</v>
      </c>
      <c r="B65" s="52" t="s">
        <v>222</v>
      </c>
      <c r="C65" s="53">
        <v>3.0</v>
      </c>
      <c r="D65" s="54">
        <f t="shared" si="1"/>
        <v>0</v>
      </c>
      <c r="E65" s="55">
        <f t="shared" si="2"/>
        <v>1.5</v>
      </c>
      <c r="F65" s="56">
        <v>6.0</v>
      </c>
      <c r="G65" s="57">
        <f t="shared" si="3"/>
        <v>9</v>
      </c>
      <c r="H65" s="58"/>
      <c r="I65" s="59">
        <v>-0.5</v>
      </c>
      <c r="J65" s="59">
        <v>1.0</v>
      </c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</row>
    <row r="66">
      <c r="A66" s="51" t="s">
        <v>411</v>
      </c>
      <c r="B66" s="52" t="s">
        <v>222</v>
      </c>
      <c r="C66" s="53">
        <v>1.0</v>
      </c>
      <c r="D66" s="54">
        <f t="shared" si="1"/>
        <v>0</v>
      </c>
      <c r="E66" s="55">
        <f t="shared" si="2"/>
        <v>3</v>
      </c>
      <c r="F66" s="56">
        <v>1.0</v>
      </c>
      <c r="G66" s="57">
        <f t="shared" si="3"/>
        <v>3</v>
      </c>
      <c r="H66" s="58"/>
      <c r="I66" s="58"/>
      <c r="J66" s="58"/>
      <c r="K66" s="58"/>
      <c r="L66" s="58"/>
      <c r="M66" s="59">
        <v>1.0</v>
      </c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</row>
    <row r="67">
      <c r="A67" s="51" t="s">
        <v>413</v>
      </c>
      <c r="B67" s="52" t="s">
        <v>222</v>
      </c>
      <c r="C67" s="53">
        <v>1.0</v>
      </c>
      <c r="D67" s="54">
        <f t="shared" si="1"/>
        <v>-3</v>
      </c>
      <c r="E67" s="55">
        <f t="shared" si="2"/>
        <v>0</v>
      </c>
      <c r="F67" s="56">
        <v>1.0</v>
      </c>
      <c r="G67" s="57">
        <f t="shared" si="3"/>
        <v>3</v>
      </c>
      <c r="H67" s="58"/>
      <c r="I67" s="58"/>
      <c r="J67" s="58"/>
      <c r="K67" s="58"/>
      <c r="L67" s="58"/>
      <c r="M67" s="59">
        <v>-2.0</v>
      </c>
      <c r="N67" s="59">
        <f>(4 + 2)</f>
        <v>6</v>
      </c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</row>
    <row r="68">
      <c r="A68" s="51" t="s">
        <v>413</v>
      </c>
      <c r="B68" s="52" t="s">
        <v>222</v>
      </c>
      <c r="C68" s="53">
        <v>4.0</v>
      </c>
      <c r="D68" s="54">
        <f t="shared" si="1"/>
        <v>-6</v>
      </c>
      <c r="E68" s="55">
        <f t="shared" si="2"/>
        <v>6</v>
      </c>
      <c r="F68" s="56">
        <v>1.0</v>
      </c>
      <c r="G68" s="57">
        <f t="shared" si="3"/>
        <v>12</v>
      </c>
      <c r="H68" s="58"/>
      <c r="I68" s="58"/>
      <c r="J68" s="58"/>
      <c r="K68" s="58"/>
      <c r="L68" s="58"/>
      <c r="M68" s="59">
        <v>-2.0</v>
      </c>
      <c r="N68" s="59">
        <v>12.0</v>
      </c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</row>
    <row r="69">
      <c r="A69" s="51" t="s">
        <v>415</v>
      </c>
      <c r="B69" s="52" t="s">
        <v>222</v>
      </c>
      <c r="C69" s="53">
        <v>1.0</v>
      </c>
      <c r="D69" s="54">
        <f t="shared" si="1"/>
        <v>-1.051282051</v>
      </c>
      <c r="E69" s="55">
        <f t="shared" si="2"/>
        <v>1.948717949</v>
      </c>
      <c r="F69" s="56">
        <v>1.0</v>
      </c>
      <c r="G69" s="57">
        <f t="shared" si="3"/>
        <v>3</v>
      </c>
      <c r="H69" s="58"/>
      <c r="I69" s="58"/>
      <c r="J69" s="58"/>
      <c r="K69" s="59">
        <f t="shared" ref="K69:K73" si="5">-C69</f>
        <v>-1</v>
      </c>
      <c r="L69" s="59"/>
      <c r="M69" s="59">
        <v>-1.0</v>
      </c>
      <c r="N69" s="58"/>
      <c r="O69" s="58"/>
      <c r="P69" s="58"/>
      <c r="Q69" s="58"/>
      <c r="R69" s="58"/>
      <c r="S69" s="58"/>
      <c r="T69" s="59">
        <v>2.0</v>
      </c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</row>
    <row r="70">
      <c r="A70" s="51" t="s">
        <v>416</v>
      </c>
      <c r="B70" s="52" t="s">
        <v>222</v>
      </c>
      <c r="C70" s="53">
        <v>2.0</v>
      </c>
      <c r="D70" s="54">
        <f t="shared" si="1"/>
        <v>0.8974358974</v>
      </c>
      <c r="E70" s="55">
        <f t="shared" si="2"/>
        <v>6.897435897</v>
      </c>
      <c r="F70" s="56">
        <v>1.0</v>
      </c>
      <c r="G70" s="57">
        <f t="shared" si="3"/>
        <v>6</v>
      </c>
      <c r="H70" s="58"/>
      <c r="I70" s="58"/>
      <c r="J70" s="58"/>
      <c r="K70" s="59">
        <f t="shared" si="5"/>
        <v>-2</v>
      </c>
      <c r="L70" s="58"/>
      <c r="M70" s="59">
        <v>-1.0</v>
      </c>
      <c r="N70" s="58"/>
      <c r="O70" s="58"/>
      <c r="P70" s="58"/>
      <c r="Q70" s="58"/>
      <c r="R70" s="58"/>
      <c r="S70" s="58"/>
      <c r="T70" s="59">
        <v>4.0</v>
      </c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</row>
    <row r="71">
      <c r="A71" s="51" t="s">
        <v>418</v>
      </c>
      <c r="B71" s="52" t="s">
        <v>222</v>
      </c>
      <c r="C71" s="53">
        <v>3.0</v>
      </c>
      <c r="D71" s="54">
        <f t="shared" si="1"/>
        <v>-1.153846154</v>
      </c>
      <c r="E71" s="55">
        <f t="shared" si="2"/>
        <v>7.846153846</v>
      </c>
      <c r="F71" s="56">
        <v>1.0</v>
      </c>
      <c r="G71" s="57">
        <f t="shared" si="3"/>
        <v>9</v>
      </c>
      <c r="H71" s="58"/>
      <c r="I71" s="58"/>
      <c r="J71" s="58"/>
      <c r="K71" s="59">
        <f t="shared" si="5"/>
        <v>-3</v>
      </c>
      <c r="L71" s="58"/>
      <c r="M71" s="59">
        <v>-1.0</v>
      </c>
      <c r="N71" s="58"/>
      <c r="O71" s="58"/>
      <c r="P71" s="58"/>
      <c r="Q71" s="58"/>
      <c r="R71" s="58"/>
      <c r="S71" s="58"/>
      <c r="T71" s="59">
        <v>5.0</v>
      </c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</row>
    <row r="72">
      <c r="A72" s="51" t="s">
        <v>419</v>
      </c>
      <c r="B72" s="52" t="s">
        <v>222</v>
      </c>
      <c r="C72" s="53">
        <v>4.0</v>
      </c>
      <c r="D72" s="54">
        <f t="shared" si="1"/>
        <v>0.7948717949</v>
      </c>
      <c r="E72" s="55">
        <f t="shared" si="2"/>
        <v>12.79487179</v>
      </c>
      <c r="F72" s="56">
        <v>1.0</v>
      </c>
      <c r="G72" s="57">
        <f t="shared" si="3"/>
        <v>12</v>
      </c>
      <c r="H72" s="58"/>
      <c r="I72" s="58"/>
      <c r="J72" s="58"/>
      <c r="K72" s="59">
        <f t="shared" si="5"/>
        <v>-4</v>
      </c>
      <c r="L72" s="58"/>
      <c r="M72" s="59">
        <v>-1.0</v>
      </c>
      <c r="N72" s="58"/>
      <c r="O72" s="58"/>
      <c r="P72" s="58"/>
      <c r="Q72" s="58"/>
      <c r="R72" s="58"/>
      <c r="S72" s="58"/>
      <c r="T72" s="59">
        <v>7.0</v>
      </c>
      <c r="U72" s="59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</row>
    <row r="73">
      <c r="A73" s="51" t="s">
        <v>421</v>
      </c>
      <c r="B73" s="52" t="s">
        <v>222</v>
      </c>
      <c r="C73" s="53">
        <v>4.0</v>
      </c>
      <c r="D73" s="54">
        <f t="shared" si="1"/>
        <v>4.794871795</v>
      </c>
      <c r="E73" s="55">
        <f t="shared" si="2"/>
        <v>16.79487179</v>
      </c>
      <c r="F73" s="56">
        <v>1.0</v>
      </c>
      <c r="G73" s="57">
        <f t="shared" si="3"/>
        <v>12</v>
      </c>
      <c r="H73" s="58"/>
      <c r="I73" s="58"/>
      <c r="J73" s="58"/>
      <c r="K73" s="59">
        <f t="shared" si="5"/>
        <v>-4</v>
      </c>
      <c r="L73" s="58"/>
      <c r="M73" s="59">
        <v>-1.0</v>
      </c>
      <c r="N73" s="58"/>
      <c r="O73" s="58"/>
      <c r="P73" s="58"/>
      <c r="Q73" s="58"/>
      <c r="R73" s="58"/>
      <c r="S73" s="58"/>
      <c r="T73" s="59">
        <f>(2+2)*2</f>
        <v>8</v>
      </c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</row>
    <row r="74">
      <c r="A74" s="51" t="s">
        <v>422</v>
      </c>
      <c r="B74" s="52" t="s">
        <v>222</v>
      </c>
      <c r="C74" s="53">
        <v>1.0</v>
      </c>
      <c r="D74" s="54">
        <f t="shared" si="1"/>
        <v>0</v>
      </c>
      <c r="E74" s="55">
        <f t="shared" si="2"/>
        <v>3</v>
      </c>
      <c r="F74" s="56">
        <v>1.0</v>
      </c>
      <c r="G74" s="57">
        <f t="shared" si="3"/>
        <v>3</v>
      </c>
      <c r="H74" s="59"/>
      <c r="I74" s="58"/>
      <c r="J74" s="58"/>
      <c r="K74" s="58"/>
      <c r="L74" s="58"/>
      <c r="M74" s="59">
        <v>-1.0</v>
      </c>
      <c r="N74" s="59"/>
      <c r="O74" s="58"/>
      <c r="P74" s="58"/>
      <c r="Q74" s="58"/>
      <c r="R74" s="58"/>
      <c r="S74" s="58"/>
      <c r="T74" s="58"/>
      <c r="U74" s="58"/>
      <c r="V74" s="58"/>
      <c r="W74" s="58"/>
      <c r="X74" s="59">
        <v>12.0</v>
      </c>
      <c r="Y74" s="58"/>
      <c r="Z74" s="58"/>
      <c r="AA74" s="58"/>
      <c r="AB74" s="58"/>
      <c r="AC74" s="58"/>
      <c r="AD74" s="58"/>
      <c r="AE74" s="58"/>
      <c r="AF74" s="58"/>
    </row>
    <row r="75">
      <c r="A75" s="51" t="s">
        <v>424</v>
      </c>
      <c r="B75" s="52" t="s">
        <v>222</v>
      </c>
      <c r="C75" s="53">
        <v>2.0</v>
      </c>
      <c r="D75" s="54">
        <f t="shared" si="1"/>
        <v>0</v>
      </c>
      <c r="E75" s="55">
        <f t="shared" si="2"/>
        <v>6</v>
      </c>
      <c r="F75" s="56">
        <v>1.0</v>
      </c>
      <c r="G75" s="57">
        <f t="shared" si="3"/>
        <v>6</v>
      </c>
      <c r="H75" s="59"/>
      <c r="I75" s="58"/>
      <c r="J75" s="58"/>
      <c r="K75" s="58"/>
      <c r="L75" s="58"/>
      <c r="M75" s="59">
        <v>-1.0</v>
      </c>
      <c r="N75" s="59">
        <v>9.0</v>
      </c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</row>
    <row r="76">
      <c r="A76" s="51" t="s">
        <v>425</v>
      </c>
      <c r="B76" s="52" t="s">
        <v>222</v>
      </c>
      <c r="C76" s="53">
        <v>2.0</v>
      </c>
      <c r="D76" s="54">
        <f t="shared" si="1"/>
        <v>2</v>
      </c>
      <c r="E76" s="55">
        <f t="shared" si="2"/>
        <v>8</v>
      </c>
      <c r="F76" s="56">
        <v>1.0</v>
      </c>
      <c r="G76" s="57">
        <f t="shared" si="3"/>
        <v>6</v>
      </c>
      <c r="H76" s="58"/>
      <c r="I76" s="58"/>
      <c r="J76" s="58"/>
      <c r="K76" s="58"/>
      <c r="L76" s="58"/>
      <c r="M76" s="59">
        <v>-1.0</v>
      </c>
      <c r="N76" s="59"/>
      <c r="O76" s="58"/>
      <c r="P76" s="58"/>
      <c r="Q76" s="58"/>
      <c r="R76" s="58"/>
      <c r="S76" s="58"/>
      <c r="T76" s="58"/>
      <c r="U76" s="58"/>
      <c r="V76" s="58"/>
      <c r="W76" s="59">
        <v>2.0</v>
      </c>
      <c r="X76" s="58"/>
      <c r="Y76" s="58"/>
      <c r="Z76" s="58"/>
      <c r="AA76" s="58"/>
      <c r="AB76" s="58"/>
      <c r="AC76" s="58"/>
      <c r="AD76" s="58"/>
      <c r="AE76" s="58"/>
      <c r="AF76" s="58"/>
    </row>
    <row r="77">
      <c r="A77" s="51" t="s">
        <v>426</v>
      </c>
      <c r="B77" s="52" t="s">
        <v>222</v>
      </c>
      <c r="C77" s="53">
        <v>2.0</v>
      </c>
      <c r="D77" s="54">
        <f t="shared" si="1"/>
        <v>-1</v>
      </c>
      <c r="E77" s="55">
        <f t="shared" si="2"/>
        <v>5</v>
      </c>
      <c r="F77" s="56">
        <v>1.0</v>
      </c>
      <c r="G77" s="57">
        <f t="shared" si="3"/>
        <v>6</v>
      </c>
      <c r="H77" s="58"/>
      <c r="I77" s="58"/>
      <c r="J77" s="58"/>
      <c r="K77" s="58"/>
      <c r="L77" s="59"/>
      <c r="M77" s="59">
        <v>-2.0</v>
      </c>
      <c r="N77" s="59"/>
      <c r="O77" s="58"/>
      <c r="P77" s="58"/>
      <c r="Q77" s="58"/>
      <c r="R77" s="58"/>
      <c r="S77" s="58"/>
      <c r="T77" s="58"/>
      <c r="U77" s="58"/>
      <c r="V77" s="58"/>
      <c r="W77" s="59">
        <v>2.0</v>
      </c>
      <c r="X77" s="58"/>
      <c r="Y77" s="58"/>
      <c r="Z77" s="58"/>
      <c r="AA77" s="58"/>
      <c r="AB77" s="58"/>
      <c r="AC77" s="58"/>
      <c r="AD77" s="58"/>
      <c r="AE77" s="58"/>
      <c r="AF77" s="58"/>
    </row>
    <row r="78">
      <c r="A78" s="51" t="s">
        <v>427</v>
      </c>
      <c r="B78" s="52" t="s">
        <v>222</v>
      </c>
      <c r="C78" s="53">
        <v>3.0</v>
      </c>
      <c r="D78" s="54">
        <f t="shared" si="1"/>
        <v>-4</v>
      </c>
      <c r="E78" s="55">
        <f t="shared" si="2"/>
        <v>5</v>
      </c>
      <c r="F78" s="56">
        <v>1.0</v>
      </c>
      <c r="G78" s="57">
        <f t="shared" si="3"/>
        <v>9</v>
      </c>
      <c r="H78" s="58"/>
      <c r="I78" s="58"/>
      <c r="J78" s="58"/>
      <c r="K78" s="58"/>
      <c r="L78" s="58"/>
      <c r="M78" s="59">
        <v>-1.0</v>
      </c>
      <c r="N78" s="59">
        <v>8.0</v>
      </c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</row>
    <row r="79">
      <c r="A79" s="51" t="s">
        <v>428</v>
      </c>
      <c r="B79" s="52" t="s">
        <v>222</v>
      </c>
      <c r="C79" s="53">
        <v>2.0</v>
      </c>
      <c r="D79" s="54">
        <f t="shared" si="1"/>
        <v>-0.75</v>
      </c>
      <c r="E79" s="55">
        <f t="shared" si="2"/>
        <v>1.75</v>
      </c>
      <c r="F79" s="56">
        <v>3.0</v>
      </c>
      <c r="G79" s="57">
        <f t="shared" si="3"/>
        <v>6</v>
      </c>
      <c r="H79" s="59">
        <v>-4.0</v>
      </c>
      <c r="I79" s="58"/>
      <c r="J79" s="58"/>
      <c r="K79" s="58"/>
      <c r="L79" s="58"/>
      <c r="M79" s="59">
        <v>-2.0</v>
      </c>
      <c r="N79" s="59">
        <v>6.25</v>
      </c>
      <c r="O79" s="58"/>
      <c r="P79" s="58"/>
      <c r="Q79" s="58"/>
      <c r="R79" s="58"/>
      <c r="S79" s="58"/>
      <c r="T79" s="58"/>
      <c r="U79" s="58"/>
      <c r="V79" s="58"/>
      <c r="W79" s="59">
        <v>1.0</v>
      </c>
      <c r="X79" s="58"/>
      <c r="Y79" s="58"/>
      <c r="Z79" s="58"/>
      <c r="AA79" s="58"/>
      <c r="AB79" s="58"/>
      <c r="AC79" s="58"/>
      <c r="AD79" s="58"/>
      <c r="AE79" s="58"/>
      <c r="AF79" s="58"/>
    </row>
    <row r="80">
      <c r="A80" s="51" t="s">
        <v>429</v>
      </c>
      <c r="B80" s="52" t="s">
        <v>222</v>
      </c>
      <c r="C80" s="53">
        <v>4.0</v>
      </c>
      <c r="D80" s="54">
        <f t="shared" si="1"/>
        <v>-1</v>
      </c>
      <c r="E80" s="55">
        <f t="shared" si="2"/>
        <v>11</v>
      </c>
      <c r="F80" s="56">
        <v>1.0</v>
      </c>
      <c r="G80" s="57">
        <f t="shared" si="3"/>
        <v>12</v>
      </c>
      <c r="H80" s="58"/>
      <c r="I80" s="58"/>
      <c r="J80" s="58"/>
      <c r="K80" s="59"/>
      <c r="L80" s="58"/>
      <c r="M80" s="59">
        <v>-2.0</v>
      </c>
      <c r="N80" s="59">
        <v>8.0</v>
      </c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9">
        <v>9.0</v>
      </c>
      <c r="Z80" s="58"/>
      <c r="AA80" s="58"/>
      <c r="AB80" s="58"/>
      <c r="AC80" s="58"/>
      <c r="AD80" s="58"/>
      <c r="AE80" s="58"/>
      <c r="AF80" s="58"/>
    </row>
    <row r="81">
      <c r="A81" s="51" t="s">
        <v>430</v>
      </c>
      <c r="B81" s="52" t="s">
        <v>222</v>
      </c>
      <c r="C81" s="53">
        <v>5.0</v>
      </c>
      <c r="D81" s="54">
        <f t="shared" si="1"/>
        <v>-0.05128205128</v>
      </c>
      <c r="E81" s="55">
        <f t="shared" si="2"/>
        <v>14.94871795</v>
      </c>
      <c r="F81" s="56">
        <v>1.0</v>
      </c>
      <c r="G81" s="57">
        <f t="shared" si="3"/>
        <v>15</v>
      </c>
      <c r="H81" s="59">
        <v>12.0</v>
      </c>
      <c r="I81" s="58"/>
      <c r="J81" s="58"/>
      <c r="K81" s="59">
        <v>-1.0</v>
      </c>
      <c r="L81" s="58"/>
      <c r="M81" s="59">
        <v>2.0</v>
      </c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</row>
    <row r="82">
      <c r="A82" s="51" t="s">
        <v>431</v>
      </c>
      <c r="B82" s="52" t="s">
        <v>222</v>
      </c>
      <c r="C82" s="53">
        <v>3.0</v>
      </c>
      <c r="D82" s="54">
        <f t="shared" si="1"/>
        <v>1</v>
      </c>
      <c r="E82" s="55">
        <f t="shared" si="2"/>
        <v>2.5</v>
      </c>
      <c r="F82" s="56">
        <v>4.0</v>
      </c>
      <c r="G82" s="57">
        <f t="shared" si="3"/>
        <v>9</v>
      </c>
      <c r="H82" s="59">
        <v>1.0</v>
      </c>
      <c r="I82" s="58"/>
      <c r="J82" s="59">
        <v>1.0</v>
      </c>
      <c r="K82" s="58"/>
      <c r="L82" s="58"/>
      <c r="M82" s="59">
        <v>-1.0</v>
      </c>
      <c r="N82" s="58"/>
      <c r="O82" s="58"/>
      <c r="P82" s="58"/>
      <c r="Q82" s="58"/>
      <c r="R82" s="58"/>
      <c r="S82" s="58"/>
      <c r="T82" s="58"/>
      <c r="U82" s="58"/>
      <c r="V82" s="59">
        <v>1.0</v>
      </c>
      <c r="W82" s="58"/>
      <c r="X82" s="58"/>
      <c r="Y82" s="58"/>
      <c r="Z82" s="58"/>
      <c r="AA82" s="58"/>
      <c r="AB82" s="58"/>
      <c r="AC82" s="58"/>
      <c r="AD82" s="58"/>
      <c r="AE82" s="58"/>
      <c r="AF82" s="58"/>
    </row>
    <row r="83">
      <c r="A83" s="51" t="s">
        <v>432</v>
      </c>
      <c r="B83" s="52" t="s">
        <v>222</v>
      </c>
      <c r="C83" s="53">
        <v>1.0</v>
      </c>
      <c r="D83" s="54">
        <f t="shared" si="1"/>
        <v>0</v>
      </c>
      <c r="E83" s="55">
        <f t="shared" si="2"/>
        <v>3</v>
      </c>
      <c r="F83" s="56">
        <v>1.0</v>
      </c>
      <c r="G83" s="57">
        <f t="shared" si="3"/>
        <v>3</v>
      </c>
      <c r="H83" s="59"/>
      <c r="I83" s="59">
        <v>1.0</v>
      </c>
      <c r="J83" s="59">
        <v>3.0</v>
      </c>
      <c r="K83" s="58"/>
      <c r="L83" s="58"/>
      <c r="M83" s="59">
        <v>-2.0</v>
      </c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9">
        <v>4.0</v>
      </c>
      <c r="Y83" s="58"/>
      <c r="Z83" s="58"/>
      <c r="AA83" s="58"/>
      <c r="AB83" s="58"/>
      <c r="AC83" s="58"/>
      <c r="AD83" s="58"/>
      <c r="AE83" s="58"/>
      <c r="AF83" s="58"/>
    </row>
    <row r="84">
      <c r="A84" s="51" t="s">
        <v>433</v>
      </c>
      <c r="B84" s="52" t="s">
        <v>222</v>
      </c>
      <c r="C84" s="53">
        <v>2.0</v>
      </c>
      <c r="D84" s="54">
        <f t="shared" si="1"/>
        <v>-6</v>
      </c>
      <c r="E84" s="55">
        <f t="shared" si="2"/>
        <v>0</v>
      </c>
      <c r="F84" s="56">
        <v>6.0</v>
      </c>
      <c r="G84" s="57">
        <f t="shared" si="3"/>
        <v>6</v>
      </c>
      <c r="H84" s="59">
        <v>3.0</v>
      </c>
      <c r="I84" s="58"/>
      <c r="J84" s="58"/>
      <c r="K84" s="58"/>
      <c r="L84" s="58"/>
      <c r="M84" s="59">
        <v>-1.0</v>
      </c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  <c r="AC84" s="58"/>
      <c r="AD84" s="58"/>
      <c r="AE84" s="58"/>
      <c r="AF84" s="58"/>
    </row>
    <row r="85">
      <c r="A85" s="51" t="s">
        <v>434</v>
      </c>
      <c r="B85" s="52" t="s">
        <v>222</v>
      </c>
      <c r="C85" s="53">
        <v>2.0</v>
      </c>
      <c r="D85" s="54">
        <f t="shared" si="1"/>
        <v>0</v>
      </c>
      <c r="E85" s="55">
        <f t="shared" si="2"/>
        <v>6</v>
      </c>
      <c r="F85" s="56">
        <v>1.0</v>
      </c>
      <c r="G85" s="57">
        <f t="shared" si="3"/>
        <v>6</v>
      </c>
      <c r="H85" s="58"/>
      <c r="I85" s="58"/>
      <c r="J85" s="58"/>
      <c r="K85" s="58"/>
      <c r="L85" s="58"/>
      <c r="M85" s="58"/>
      <c r="N85" s="59">
        <v>6.0</v>
      </c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  <c r="AD85" s="58"/>
      <c r="AE85" s="58"/>
      <c r="AF85" s="58"/>
    </row>
    <row r="86">
      <c r="A86" s="51" t="s">
        <v>435</v>
      </c>
      <c r="B86" s="52" t="s">
        <v>222</v>
      </c>
      <c r="C86" s="53">
        <v>2.0</v>
      </c>
      <c r="D86" s="54">
        <f t="shared" si="1"/>
        <v>-3.5</v>
      </c>
      <c r="E86" s="55">
        <f t="shared" si="2"/>
        <v>5</v>
      </c>
      <c r="F86" s="56">
        <v>0.5</v>
      </c>
      <c r="G86" s="57">
        <f t="shared" si="3"/>
        <v>6</v>
      </c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9">
        <v>1.0</v>
      </c>
      <c r="V86" s="58"/>
      <c r="W86" s="58"/>
      <c r="X86" s="58"/>
      <c r="Y86" s="58"/>
      <c r="Z86" s="58"/>
      <c r="AA86" s="58"/>
      <c r="AB86" s="58"/>
      <c r="AC86" s="58"/>
      <c r="AD86" s="58"/>
      <c r="AE86" s="58"/>
      <c r="AF86" s="58"/>
    </row>
    <row r="87">
      <c r="A87" s="51" t="s">
        <v>436</v>
      </c>
      <c r="B87" s="52" t="s">
        <v>222</v>
      </c>
      <c r="C87" s="53">
        <v>2.0</v>
      </c>
      <c r="D87" s="54">
        <f t="shared" si="1"/>
        <v>-5</v>
      </c>
      <c r="E87" s="55">
        <f t="shared" si="2"/>
        <v>1</v>
      </c>
      <c r="F87" s="56">
        <v>1.0</v>
      </c>
      <c r="G87" s="57">
        <f t="shared" si="3"/>
        <v>6</v>
      </c>
      <c r="H87" s="58"/>
      <c r="I87" s="58"/>
      <c r="J87" s="58"/>
      <c r="K87" s="58"/>
      <c r="L87" s="58"/>
      <c r="M87" s="59">
        <v>-1.0</v>
      </c>
      <c r="N87" s="59">
        <v>4.0</v>
      </c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  <c r="AC87" s="58"/>
      <c r="AD87" s="58"/>
      <c r="AE87" s="58"/>
      <c r="AF87" s="58"/>
    </row>
    <row r="88">
      <c r="A88" s="51" t="s">
        <v>437</v>
      </c>
      <c r="B88" s="52" t="s">
        <v>222</v>
      </c>
      <c r="C88" s="53">
        <v>2.0</v>
      </c>
      <c r="D88" s="54">
        <f t="shared" si="1"/>
        <v>0</v>
      </c>
      <c r="E88" s="55">
        <f t="shared" si="2"/>
        <v>6</v>
      </c>
      <c r="F88" s="56">
        <v>1.0</v>
      </c>
      <c r="G88" s="57">
        <f t="shared" si="3"/>
        <v>6</v>
      </c>
      <c r="H88" s="58"/>
      <c r="I88" s="58"/>
      <c r="J88" s="58"/>
      <c r="K88" s="58"/>
      <c r="L88" s="58"/>
      <c r="M88" s="59">
        <v>-2.0</v>
      </c>
      <c r="N88" s="58"/>
      <c r="O88" s="58"/>
      <c r="P88" s="59">
        <v>4.0</v>
      </c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  <c r="AC88" s="58"/>
      <c r="AD88" s="58"/>
      <c r="AE88" s="58"/>
      <c r="AF88" s="58"/>
    </row>
    <row r="89">
      <c r="A89" s="51" t="s">
        <v>438</v>
      </c>
      <c r="B89" s="52" t="s">
        <v>222</v>
      </c>
      <c r="C89" s="53">
        <v>3.0</v>
      </c>
      <c r="D89" s="54">
        <f t="shared" si="1"/>
        <v>0.8974358974</v>
      </c>
      <c r="E89" s="55">
        <f t="shared" si="2"/>
        <v>4.948717949</v>
      </c>
      <c r="F89" s="56">
        <v>2.0</v>
      </c>
      <c r="G89" s="57">
        <f t="shared" si="3"/>
        <v>9</v>
      </c>
      <c r="H89" s="58"/>
      <c r="I89" s="58"/>
      <c r="J89" s="58"/>
      <c r="K89" s="59">
        <v>-1.0</v>
      </c>
      <c r="L89" s="59">
        <v>-1.0</v>
      </c>
      <c r="M89" s="59">
        <v>-1.0</v>
      </c>
      <c r="N89" s="59">
        <v>15.0</v>
      </c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  <c r="AC89" s="58"/>
      <c r="AD89" s="58"/>
      <c r="AE89" s="58"/>
      <c r="AF89" s="58"/>
    </row>
    <row r="90">
      <c r="A90" s="51" t="s">
        <v>439</v>
      </c>
      <c r="B90" s="52" t="s">
        <v>222</v>
      </c>
      <c r="C90" s="53">
        <v>3.0</v>
      </c>
      <c r="D90" s="54">
        <f t="shared" si="1"/>
        <v>1</v>
      </c>
      <c r="E90" s="55">
        <f t="shared" si="2"/>
        <v>10</v>
      </c>
      <c r="F90" s="56">
        <v>1.0</v>
      </c>
      <c r="G90" s="57">
        <f t="shared" si="3"/>
        <v>9</v>
      </c>
      <c r="H90" s="58"/>
      <c r="I90" s="58"/>
      <c r="J90" s="59">
        <v>2.0</v>
      </c>
      <c r="K90" s="58"/>
      <c r="L90" s="58"/>
      <c r="M90" s="59">
        <v>-2.0</v>
      </c>
      <c r="N90" s="59">
        <v>12.0</v>
      </c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</row>
    <row r="91">
      <c r="A91" s="51" t="s">
        <v>440</v>
      </c>
      <c r="B91" s="52" t="s">
        <v>222</v>
      </c>
      <c r="C91" s="53">
        <v>1.0</v>
      </c>
      <c r="D91" s="54">
        <f t="shared" si="1"/>
        <v>-1.102564103</v>
      </c>
      <c r="E91" s="55">
        <f t="shared" si="2"/>
        <v>1.897435897</v>
      </c>
      <c r="F91" s="56">
        <v>1.0</v>
      </c>
      <c r="G91" s="57">
        <f t="shared" si="3"/>
        <v>3</v>
      </c>
      <c r="H91" s="58"/>
      <c r="I91" s="58"/>
      <c r="J91" s="58"/>
      <c r="K91" s="59">
        <v>-2.0</v>
      </c>
      <c r="L91" s="58"/>
      <c r="M91" s="59">
        <v>-1.0</v>
      </c>
      <c r="N91" s="59">
        <v>2.0</v>
      </c>
      <c r="O91" s="58"/>
      <c r="P91" s="58"/>
      <c r="Q91" s="58"/>
      <c r="R91" s="58"/>
      <c r="S91" s="58"/>
      <c r="T91" s="59">
        <v>1.0</v>
      </c>
      <c r="U91" s="59">
        <v>1.0</v>
      </c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</row>
    <row r="92">
      <c r="A92" s="51" t="s">
        <v>441</v>
      </c>
      <c r="B92" s="52" t="s">
        <v>222</v>
      </c>
      <c r="C92" s="53">
        <v>4.0</v>
      </c>
      <c r="D92" s="54">
        <f t="shared" si="1"/>
        <v>-0.2051282051</v>
      </c>
      <c r="E92" s="55">
        <f t="shared" si="2"/>
        <v>2.948717949</v>
      </c>
      <c r="F92" s="56">
        <v>4.0</v>
      </c>
      <c r="G92" s="57">
        <f t="shared" si="3"/>
        <v>12</v>
      </c>
      <c r="H92" s="58"/>
      <c r="I92" s="58"/>
      <c r="J92" s="58"/>
      <c r="K92" s="59">
        <v>-1.0</v>
      </c>
      <c r="L92" s="58"/>
      <c r="M92" s="58"/>
      <c r="N92" s="58"/>
      <c r="O92" s="59">
        <v>4.0</v>
      </c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</row>
    <row r="93">
      <c r="A93" s="51" t="s">
        <v>151</v>
      </c>
      <c r="B93" s="52" t="s">
        <v>1</v>
      </c>
      <c r="C93" s="53">
        <v>2.0</v>
      </c>
      <c r="D93" s="54">
        <f t="shared" si="1"/>
        <v>1.5</v>
      </c>
      <c r="E93" s="55">
        <f t="shared" si="2"/>
        <v>7.5</v>
      </c>
      <c r="F93" s="56">
        <v>1.0</v>
      </c>
      <c r="G93" s="57">
        <f t="shared" si="3"/>
        <v>6</v>
      </c>
      <c r="H93" s="58"/>
      <c r="I93" s="59"/>
      <c r="J93" s="59">
        <v>4.0</v>
      </c>
      <c r="K93" s="58"/>
      <c r="L93" s="58"/>
      <c r="M93" s="59">
        <v>-2.0</v>
      </c>
      <c r="N93" s="58"/>
      <c r="O93" s="58"/>
      <c r="P93" s="58"/>
      <c r="Q93" s="58"/>
      <c r="R93" s="58"/>
      <c r="S93" s="58"/>
      <c r="T93" s="58"/>
      <c r="U93" s="58"/>
      <c r="V93" s="58"/>
      <c r="W93" s="59">
        <v>1.0</v>
      </c>
      <c r="X93" s="58"/>
      <c r="Y93" s="58"/>
      <c r="Z93" s="58"/>
      <c r="AA93" s="58"/>
      <c r="AB93" s="58"/>
      <c r="AC93" s="58"/>
      <c r="AD93" s="58"/>
      <c r="AE93" s="58"/>
      <c r="AF93" s="58"/>
    </row>
    <row r="94">
      <c r="A94" s="51" t="s">
        <v>163</v>
      </c>
      <c r="B94" s="52" t="s">
        <v>1</v>
      </c>
      <c r="C94" s="53">
        <v>3.0</v>
      </c>
      <c r="D94" s="54">
        <f t="shared" si="1"/>
        <v>0.5</v>
      </c>
      <c r="E94" s="55">
        <f t="shared" si="2"/>
        <v>9.5</v>
      </c>
      <c r="F94" s="56">
        <v>1.0</v>
      </c>
      <c r="G94" s="57">
        <f t="shared" si="3"/>
        <v>9</v>
      </c>
      <c r="H94" s="58"/>
      <c r="I94" s="58"/>
      <c r="J94" s="59">
        <v>3.0</v>
      </c>
      <c r="K94" s="58"/>
      <c r="L94" s="58"/>
      <c r="M94" s="59">
        <v>-2.0</v>
      </c>
      <c r="N94" s="59">
        <v>4.0</v>
      </c>
      <c r="O94" s="58"/>
      <c r="P94" s="58"/>
      <c r="Q94" s="58"/>
      <c r="R94" s="58"/>
      <c r="S94" s="58"/>
      <c r="T94" s="58"/>
      <c r="U94" s="58"/>
      <c r="V94" s="58"/>
      <c r="W94" s="59">
        <v>1.0</v>
      </c>
      <c r="X94" s="58"/>
      <c r="Y94" s="58"/>
      <c r="Z94" s="58"/>
      <c r="AA94" s="58"/>
      <c r="AB94" s="58"/>
      <c r="AC94" s="58"/>
      <c r="AD94" s="58"/>
      <c r="AE94" s="58"/>
      <c r="AF94" s="58"/>
    </row>
    <row r="95">
      <c r="A95" s="51" t="s">
        <v>178</v>
      </c>
      <c r="B95" s="52" t="s">
        <v>1</v>
      </c>
      <c r="C95" s="53">
        <v>4.0</v>
      </c>
      <c r="D95" s="54">
        <f t="shared" si="1"/>
        <v>-0.5</v>
      </c>
      <c r="E95" s="55">
        <f t="shared" si="2"/>
        <v>11.5</v>
      </c>
      <c r="F95" s="56">
        <v>1.0</v>
      </c>
      <c r="G95" s="57">
        <f t="shared" si="3"/>
        <v>12</v>
      </c>
      <c r="H95" s="58"/>
      <c r="I95" s="58"/>
      <c r="J95" s="59">
        <v>4.0</v>
      </c>
      <c r="K95" s="58"/>
      <c r="L95" s="58"/>
      <c r="M95" s="59">
        <v>-2.0</v>
      </c>
      <c r="N95" s="59">
        <v>4.0</v>
      </c>
      <c r="O95" s="58"/>
      <c r="P95" s="58"/>
      <c r="Q95" s="58"/>
      <c r="R95" s="58"/>
      <c r="S95" s="58"/>
      <c r="T95" s="58"/>
      <c r="U95" s="58"/>
      <c r="V95" s="58"/>
      <c r="W95" s="59">
        <v>1.0</v>
      </c>
      <c r="X95" s="58"/>
      <c r="Y95" s="58"/>
      <c r="Z95" s="58"/>
      <c r="AA95" s="58"/>
      <c r="AB95" s="58"/>
      <c r="AC95" s="58"/>
      <c r="AD95" s="58"/>
      <c r="AE95" s="58"/>
      <c r="AF95" s="58"/>
    </row>
    <row r="96">
      <c r="A96" s="51" t="s">
        <v>180</v>
      </c>
      <c r="B96" s="52" t="s">
        <v>1</v>
      </c>
      <c r="C96" s="53">
        <v>4.0</v>
      </c>
      <c r="D96" s="54">
        <f t="shared" si="1"/>
        <v>1</v>
      </c>
      <c r="E96" s="55">
        <f t="shared" si="2"/>
        <v>13</v>
      </c>
      <c r="F96" s="56">
        <v>1.0</v>
      </c>
      <c r="G96" s="57">
        <f t="shared" si="3"/>
        <v>12</v>
      </c>
      <c r="H96" s="58"/>
      <c r="I96" s="59"/>
      <c r="J96" s="59">
        <v>4.0</v>
      </c>
      <c r="K96" s="58"/>
      <c r="L96" s="58"/>
      <c r="M96" s="59">
        <v>-2.0</v>
      </c>
      <c r="N96" s="58"/>
      <c r="O96" s="58"/>
      <c r="P96" s="58"/>
      <c r="Q96" s="58"/>
      <c r="R96" s="58"/>
      <c r="S96" s="58"/>
      <c r="T96" s="58"/>
      <c r="U96" s="58"/>
      <c r="V96" s="58"/>
      <c r="W96" s="59">
        <v>2.0</v>
      </c>
      <c r="X96" s="58"/>
      <c r="Y96" s="58"/>
      <c r="Z96" s="58"/>
      <c r="AA96" s="58"/>
      <c r="AB96" s="58"/>
      <c r="AC96" s="58"/>
      <c r="AD96" s="58"/>
      <c r="AE96" s="58"/>
      <c r="AF96" s="58"/>
    </row>
    <row r="97">
      <c r="A97" s="51" t="s">
        <v>442</v>
      </c>
      <c r="B97" s="52" t="s">
        <v>222</v>
      </c>
      <c r="C97" s="53">
        <v>2.0</v>
      </c>
      <c r="D97" s="54">
        <f t="shared" si="1"/>
        <v>0</v>
      </c>
      <c r="E97" s="55">
        <f t="shared" si="2"/>
        <v>6</v>
      </c>
      <c r="F97" s="56">
        <v>1.0</v>
      </c>
      <c r="G97" s="57">
        <f t="shared" si="3"/>
        <v>6</v>
      </c>
      <c r="H97" s="58"/>
      <c r="I97" s="58"/>
      <c r="J97" s="59"/>
      <c r="K97" s="59"/>
      <c r="L97" s="59">
        <v>3.0</v>
      </c>
      <c r="M97" s="59">
        <v>-2.0</v>
      </c>
      <c r="N97" s="59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  <c r="AD97" s="58"/>
      <c r="AE97" s="58"/>
      <c r="AF97" s="58"/>
    </row>
    <row r="98">
      <c r="A98" s="51" t="s">
        <v>443</v>
      </c>
      <c r="B98" s="52" t="s">
        <v>222</v>
      </c>
      <c r="C98" s="53">
        <v>3.0</v>
      </c>
      <c r="D98" s="54">
        <f t="shared" si="1"/>
        <v>0.8974358974</v>
      </c>
      <c r="E98" s="55">
        <f t="shared" si="2"/>
        <v>4.948717949</v>
      </c>
      <c r="F98" s="56">
        <v>2.0</v>
      </c>
      <c r="G98" s="57">
        <f t="shared" si="3"/>
        <v>9</v>
      </c>
      <c r="H98" s="58"/>
      <c r="I98" s="58"/>
      <c r="J98" s="59">
        <v>-4.0</v>
      </c>
      <c r="K98" s="59">
        <v>-1.0</v>
      </c>
      <c r="L98" s="59">
        <v>4.0</v>
      </c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  <c r="AC98" s="58"/>
      <c r="AD98" s="58"/>
      <c r="AE98" s="58"/>
      <c r="AF98" s="58"/>
    </row>
    <row r="99">
      <c r="A99" s="51" t="s">
        <v>444</v>
      </c>
      <c r="B99" s="52" t="s">
        <v>222</v>
      </c>
      <c r="C99" s="53">
        <v>4.0</v>
      </c>
      <c r="D99" s="54">
        <f t="shared" si="1"/>
        <v>5.487179487</v>
      </c>
      <c r="E99" s="55">
        <f t="shared" si="2"/>
        <v>8.743589744</v>
      </c>
      <c r="F99" s="56">
        <v>2.0</v>
      </c>
      <c r="G99" s="57">
        <f t="shared" si="3"/>
        <v>12</v>
      </c>
      <c r="H99" s="58"/>
      <c r="I99" s="58"/>
      <c r="J99" s="58"/>
      <c r="K99" s="59">
        <v>-5.0</v>
      </c>
      <c r="L99" s="59">
        <v>6.0</v>
      </c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  <c r="AC99" s="58"/>
      <c r="AD99" s="58"/>
      <c r="AE99" s="58"/>
      <c r="AF99" s="58"/>
    </row>
    <row r="100">
      <c r="A100" s="51" t="s">
        <v>445</v>
      </c>
      <c r="B100" s="52" t="s">
        <v>222</v>
      </c>
      <c r="C100" s="53">
        <v>5.0</v>
      </c>
      <c r="D100" s="54">
        <f t="shared" si="1"/>
        <v>-6</v>
      </c>
      <c r="E100" s="55">
        <f t="shared" si="2"/>
        <v>9</v>
      </c>
      <c r="F100" s="56">
        <v>1.0</v>
      </c>
      <c r="G100" s="57">
        <f t="shared" si="3"/>
        <v>15</v>
      </c>
      <c r="H100" s="58"/>
      <c r="I100" s="58"/>
      <c r="J100" s="58"/>
      <c r="K100" s="58"/>
      <c r="L100" s="59"/>
      <c r="M100" s="59">
        <v>3.0</v>
      </c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8"/>
      <c r="AD100" s="58"/>
      <c r="AE100" s="58"/>
      <c r="AF100" s="58"/>
    </row>
    <row r="101">
      <c r="A101" s="51" t="s">
        <v>446</v>
      </c>
      <c r="B101" s="52" t="s">
        <v>222</v>
      </c>
      <c r="C101" s="53">
        <v>1.0</v>
      </c>
      <c r="D101" s="54">
        <f t="shared" si="1"/>
        <v>-1</v>
      </c>
      <c r="E101" s="55">
        <f t="shared" si="2"/>
        <v>2</v>
      </c>
      <c r="F101" s="56">
        <v>1.0</v>
      </c>
      <c r="G101" s="57">
        <f t="shared" si="3"/>
        <v>3</v>
      </c>
      <c r="H101" s="58"/>
      <c r="I101" s="58"/>
      <c r="J101" s="58"/>
      <c r="K101" s="58"/>
      <c r="L101" s="58"/>
      <c r="M101" s="59">
        <v>-1.0</v>
      </c>
      <c r="N101" s="59">
        <v>5.0</v>
      </c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  <c r="AC101" s="58"/>
      <c r="AD101" s="58"/>
      <c r="AE101" s="58"/>
      <c r="AF101" s="58"/>
    </row>
    <row r="102">
      <c r="A102" s="51" t="s">
        <v>447</v>
      </c>
      <c r="B102" s="52" t="s">
        <v>222</v>
      </c>
      <c r="C102" s="53">
        <v>2.0</v>
      </c>
      <c r="D102" s="54">
        <f t="shared" si="1"/>
        <v>-0.9262820513</v>
      </c>
      <c r="E102" s="55">
        <f t="shared" si="2"/>
        <v>5.073717949</v>
      </c>
      <c r="F102" s="56">
        <v>1.0</v>
      </c>
      <c r="G102" s="57">
        <f t="shared" si="3"/>
        <v>6</v>
      </c>
      <c r="H102" s="58"/>
      <c r="I102" s="58"/>
      <c r="J102" s="58"/>
      <c r="K102" s="59">
        <v>-1.0</v>
      </c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9">
        <v>3.25</v>
      </c>
      <c r="AA102" s="58"/>
      <c r="AB102" s="58"/>
      <c r="AC102" s="58"/>
      <c r="AD102" s="58"/>
      <c r="AE102" s="58"/>
      <c r="AF102" s="58"/>
    </row>
    <row r="103">
      <c r="A103" s="51" t="s">
        <v>448</v>
      </c>
      <c r="B103" s="52" t="s">
        <v>222</v>
      </c>
      <c r="C103" s="53">
        <v>2.0</v>
      </c>
      <c r="D103" s="54">
        <f t="shared" si="1"/>
        <v>-1</v>
      </c>
      <c r="E103" s="55">
        <f t="shared" si="2"/>
        <v>5</v>
      </c>
      <c r="F103" s="56">
        <v>1.0</v>
      </c>
      <c r="G103" s="57">
        <f t="shared" si="3"/>
        <v>6</v>
      </c>
      <c r="H103" s="58"/>
      <c r="I103" s="58"/>
      <c r="J103" s="58"/>
      <c r="K103" s="58"/>
      <c r="L103" s="58"/>
      <c r="M103" s="58"/>
      <c r="N103" s="58">
        <f>2.5 * 2</f>
        <v>5</v>
      </c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  <c r="AD103" s="58"/>
      <c r="AE103" s="58"/>
      <c r="AF103" s="58"/>
    </row>
    <row r="104">
      <c r="A104" s="51" t="s">
        <v>449</v>
      </c>
      <c r="B104" s="52" t="s">
        <v>222</v>
      </c>
      <c r="C104" s="53">
        <v>2.0</v>
      </c>
      <c r="D104" s="54">
        <f t="shared" si="1"/>
        <v>0</v>
      </c>
      <c r="E104" s="55">
        <f t="shared" si="2"/>
        <v>6</v>
      </c>
      <c r="F104" s="56">
        <v>1.0</v>
      </c>
      <c r="G104" s="57">
        <f t="shared" si="3"/>
        <v>6</v>
      </c>
      <c r="H104" s="58"/>
      <c r="I104" s="58"/>
      <c r="J104" s="58"/>
      <c r="K104" s="58"/>
      <c r="L104" s="58"/>
      <c r="M104" s="59">
        <v>-2.0</v>
      </c>
      <c r="N104" s="58"/>
      <c r="O104" s="58"/>
      <c r="P104" s="59">
        <v>4.0</v>
      </c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</row>
    <row r="105">
      <c r="A105" s="51" t="s">
        <v>450</v>
      </c>
      <c r="B105" s="52" t="s">
        <v>222</v>
      </c>
      <c r="C105" s="53">
        <v>3.0</v>
      </c>
      <c r="D105" s="54">
        <f t="shared" si="1"/>
        <v>0.8974358974</v>
      </c>
      <c r="E105" s="55">
        <f t="shared" si="2"/>
        <v>9.897435897</v>
      </c>
      <c r="F105" s="56">
        <v>1.0</v>
      </c>
      <c r="G105" s="57">
        <f t="shared" si="3"/>
        <v>9</v>
      </c>
      <c r="H105" s="58"/>
      <c r="I105" s="58"/>
      <c r="J105" s="58"/>
      <c r="K105" s="59">
        <v>-2.0</v>
      </c>
      <c r="L105" s="59"/>
      <c r="M105" s="59"/>
      <c r="N105" s="58"/>
      <c r="O105" s="58"/>
      <c r="P105" s="58"/>
      <c r="Q105" s="58"/>
      <c r="R105" s="58"/>
      <c r="S105" s="58"/>
      <c r="T105" s="59">
        <v>4.0</v>
      </c>
      <c r="U105" s="58"/>
      <c r="V105" s="58"/>
      <c r="W105" s="58"/>
      <c r="X105" s="58"/>
      <c r="Y105" s="58"/>
      <c r="Z105" s="58"/>
      <c r="AA105" s="58"/>
      <c r="AB105" s="58"/>
      <c r="AC105" s="58"/>
      <c r="AD105" s="58"/>
      <c r="AE105" s="58"/>
      <c r="AF105" s="58"/>
    </row>
    <row r="106">
      <c r="A106" s="51" t="s">
        <v>451</v>
      </c>
      <c r="B106" s="52" t="s">
        <v>222</v>
      </c>
      <c r="C106" s="53">
        <v>3.0</v>
      </c>
      <c r="D106" s="54">
        <f t="shared" si="1"/>
        <v>0</v>
      </c>
      <c r="E106" s="55">
        <f t="shared" si="2"/>
        <v>9</v>
      </c>
      <c r="F106" s="56">
        <v>1.0</v>
      </c>
      <c r="G106" s="57">
        <f t="shared" si="3"/>
        <v>9</v>
      </c>
      <c r="H106" s="58"/>
      <c r="I106" s="58"/>
      <c r="J106" s="58"/>
      <c r="M106" s="59">
        <v>-1.0</v>
      </c>
      <c r="N106" s="59">
        <v>12.0</v>
      </c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</row>
    <row r="107">
      <c r="A107" s="51" t="s">
        <v>452</v>
      </c>
      <c r="B107" s="52" t="s">
        <v>222</v>
      </c>
      <c r="C107" s="53">
        <v>4.0</v>
      </c>
      <c r="D107" s="54">
        <f t="shared" si="1"/>
        <v>-14</v>
      </c>
      <c r="E107" s="55">
        <f t="shared" si="2"/>
        <v>-0.5</v>
      </c>
      <c r="F107" s="56">
        <v>4.0</v>
      </c>
      <c r="G107" s="57">
        <f t="shared" si="3"/>
        <v>12</v>
      </c>
      <c r="H107" s="58"/>
      <c r="I107" s="58"/>
      <c r="J107" s="58"/>
      <c r="K107" s="58"/>
      <c r="L107" s="58"/>
      <c r="M107" s="59">
        <v>-1.0</v>
      </c>
      <c r="N107" s="58"/>
      <c r="O107" s="58"/>
      <c r="P107" s="58"/>
      <c r="Q107" s="58"/>
      <c r="R107" s="58"/>
      <c r="S107" s="58"/>
      <c r="T107" s="58"/>
      <c r="U107" s="58"/>
      <c r="V107" s="59">
        <v>1.0</v>
      </c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</row>
    <row r="108">
      <c r="A108" s="51" t="s">
        <v>453</v>
      </c>
      <c r="B108" s="52" t="s">
        <v>222</v>
      </c>
      <c r="C108" s="53">
        <v>4.0</v>
      </c>
      <c r="D108" s="54">
        <f t="shared" si="1"/>
        <v>-11.55384615</v>
      </c>
      <c r="E108" s="55">
        <f t="shared" si="2"/>
        <v>0.1487179487</v>
      </c>
      <c r="F108" s="56">
        <v>3.0</v>
      </c>
      <c r="G108" s="57">
        <f t="shared" si="3"/>
        <v>12</v>
      </c>
      <c r="H108" s="59"/>
      <c r="I108" s="58"/>
      <c r="J108" s="58"/>
      <c r="K108" s="59">
        <v>-1.0</v>
      </c>
      <c r="L108" s="58"/>
      <c r="M108" s="58"/>
      <c r="N108" s="58"/>
      <c r="O108" s="58"/>
      <c r="P108" s="58"/>
      <c r="Q108" s="59">
        <v>5.0</v>
      </c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</row>
    <row r="109">
      <c r="A109" s="51" t="s">
        <v>45</v>
      </c>
      <c r="B109" s="52" t="s">
        <v>1</v>
      </c>
      <c r="C109" s="53"/>
      <c r="D109" s="54">
        <f t="shared" si="1"/>
        <v>0.84</v>
      </c>
      <c r="E109" s="55">
        <f t="shared" si="2"/>
        <v>0.84</v>
      </c>
      <c r="F109" s="56">
        <v>1.0</v>
      </c>
      <c r="G109" s="57">
        <f t="shared" si="3"/>
        <v>0</v>
      </c>
      <c r="H109" s="58"/>
      <c r="I109" s="58"/>
      <c r="J109" s="58"/>
      <c r="K109" s="58"/>
      <c r="L109" s="58"/>
      <c r="M109" s="58"/>
      <c r="N109" s="58"/>
      <c r="O109" s="59">
        <v>-2.0</v>
      </c>
      <c r="P109" s="58"/>
      <c r="Q109" s="59">
        <v>6.0</v>
      </c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</row>
    <row r="110">
      <c r="A110" s="51" t="s">
        <v>136</v>
      </c>
      <c r="B110" s="52" t="s">
        <v>1</v>
      </c>
      <c r="C110" s="86"/>
      <c r="D110" s="54">
        <f t="shared" si="1"/>
        <v>1</v>
      </c>
      <c r="E110" s="55">
        <f t="shared" si="2"/>
        <v>1</v>
      </c>
      <c r="F110" s="56">
        <v>1.0</v>
      </c>
      <c r="G110" s="57">
        <f t="shared" si="3"/>
        <v>0</v>
      </c>
      <c r="H110" s="58"/>
      <c r="I110" s="58"/>
      <c r="J110" s="58"/>
      <c r="K110" s="58"/>
      <c r="L110" s="58"/>
      <c r="M110" s="58"/>
      <c r="N110" s="59">
        <v>4.0</v>
      </c>
      <c r="O110" s="59">
        <v>-2.0</v>
      </c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</row>
    <row r="111">
      <c r="A111" s="51" t="s">
        <v>134</v>
      </c>
      <c r="B111" s="52" t="s">
        <v>1</v>
      </c>
      <c r="C111" s="86"/>
      <c r="D111" s="54">
        <f t="shared" si="1"/>
        <v>0</v>
      </c>
      <c r="E111" s="55">
        <f t="shared" si="2"/>
        <v>0</v>
      </c>
      <c r="F111" s="56">
        <v>1.0</v>
      </c>
      <c r="G111" s="57">
        <f t="shared" si="3"/>
        <v>0</v>
      </c>
      <c r="H111" s="59">
        <v>3.0</v>
      </c>
      <c r="I111" s="58"/>
      <c r="J111" s="58"/>
      <c r="K111" s="58"/>
      <c r="L111" s="58"/>
      <c r="M111" s="58"/>
      <c r="N111" s="58"/>
      <c r="O111" s="59">
        <v>-2.0</v>
      </c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</row>
    <row r="112">
      <c r="A112" s="51" t="s">
        <v>454</v>
      </c>
      <c r="B112" s="52" t="s">
        <v>222</v>
      </c>
      <c r="C112" s="53">
        <v>3.0</v>
      </c>
      <c r="D112" s="54">
        <f t="shared" si="1"/>
        <v>-1</v>
      </c>
      <c r="E112" s="55">
        <f t="shared" si="2"/>
        <v>2</v>
      </c>
      <c r="F112" s="56">
        <v>4.0</v>
      </c>
      <c r="G112" s="57">
        <f t="shared" si="3"/>
        <v>9</v>
      </c>
      <c r="H112" s="58"/>
      <c r="I112" s="58"/>
      <c r="J112" s="58"/>
      <c r="K112" s="58"/>
      <c r="L112" s="58"/>
      <c r="M112" s="59">
        <v>-1.0</v>
      </c>
      <c r="N112" s="58"/>
      <c r="O112" s="58"/>
      <c r="P112" s="58"/>
      <c r="Q112" s="58"/>
      <c r="R112" s="58"/>
      <c r="S112" s="58"/>
      <c r="T112" s="58"/>
      <c r="U112" s="58"/>
      <c r="V112" s="59">
        <v>2.0</v>
      </c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</row>
    <row r="113">
      <c r="A113" s="51" t="s">
        <v>455</v>
      </c>
      <c r="B113" s="52" t="s">
        <v>222</v>
      </c>
      <c r="C113" s="53">
        <v>2.0</v>
      </c>
      <c r="D113" s="54">
        <f t="shared" si="1"/>
        <v>-0.5</v>
      </c>
      <c r="E113" s="55">
        <f t="shared" si="2"/>
        <v>5.5</v>
      </c>
      <c r="F113" s="56">
        <v>1.0</v>
      </c>
      <c r="G113" s="57">
        <f t="shared" si="3"/>
        <v>6</v>
      </c>
      <c r="H113" s="58"/>
      <c r="I113" s="58"/>
      <c r="J113" s="59"/>
      <c r="K113" s="58"/>
      <c r="L113" s="59">
        <v>-0.5</v>
      </c>
      <c r="M113" s="59"/>
      <c r="N113" s="58"/>
      <c r="O113" s="58"/>
      <c r="P113" s="58"/>
      <c r="Q113" s="58"/>
      <c r="R113" s="58"/>
      <c r="S113" s="58"/>
      <c r="T113" s="58"/>
      <c r="U113" s="58"/>
      <c r="V113" s="58"/>
      <c r="W113" s="59">
        <v>1.0</v>
      </c>
      <c r="X113" s="59">
        <v>4.0</v>
      </c>
      <c r="Y113" s="58"/>
      <c r="Z113" s="58"/>
      <c r="AA113" s="58"/>
      <c r="AB113" s="58"/>
      <c r="AC113" s="58"/>
      <c r="AD113" s="58"/>
      <c r="AE113" s="58"/>
      <c r="AF113" s="58"/>
    </row>
    <row r="114">
      <c r="A114" s="51" t="s">
        <v>456</v>
      </c>
      <c r="B114" s="52" t="s">
        <v>222</v>
      </c>
      <c r="C114" s="53">
        <v>2.0</v>
      </c>
      <c r="D114" s="54">
        <f t="shared" si="1"/>
        <v>-0.5</v>
      </c>
      <c r="E114" s="55">
        <f t="shared" si="2"/>
        <v>5.5</v>
      </c>
      <c r="F114" s="56">
        <v>1.0</v>
      </c>
      <c r="G114" s="57">
        <f t="shared" si="3"/>
        <v>6</v>
      </c>
      <c r="H114" s="58"/>
      <c r="I114" s="59">
        <v>5.0</v>
      </c>
      <c r="J114" s="58"/>
      <c r="K114" s="58"/>
      <c r="L114" s="59">
        <v>-0.5</v>
      </c>
      <c r="M114" s="59">
        <v>-1.0</v>
      </c>
      <c r="N114" s="58"/>
      <c r="O114" s="58"/>
      <c r="P114" s="58"/>
      <c r="Q114" s="58"/>
      <c r="R114" s="58"/>
      <c r="S114" s="58"/>
      <c r="T114" s="58"/>
      <c r="U114" s="58"/>
      <c r="V114" s="58"/>
      <c r="W114" s="59">
        <v>1.0</v>
      </c>
      <c r="X114" s="58"/>
      <c r="Y114" s="58"/>
      <c r="Z114" s="58"/>
      <c r="AA114" s="58"/>
      <c r="AB114" s="58"/>
      <c r="AC114" s="58"/>
      <c r="AD114" s="58"/>
      <c r="AE114" s="58"/>
      <c r="AF114" s="58"/>
    </row>
    <row r="115">
      <c r="A115" s="51" t="s">
        <v>457</v>
      </c>
      <c r="B115" s="52" t="s">
        <v>222</v>
      </c>
      <c r="C115" s="53">
        <v>2.0</v>
      </c>
      <c r="D115" s="54">
        <f t="shared" si="1"/>
        <v>-0.5</v>
      </c>
      <c r="E115" s="55">
        <f t="shared" si="2"/>
        <v>5.5</v>
      </c>
      <c r="F115" s="56">
        <v>1.0</v>
      </c>
      <c r="G115" s="57">
        <f t="shared" si="3"/>
        <v>6</v>
      </c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9">
        <v>1.0</v>
      </c>
      <c r="X115" s="58"/>
      <c r="Y115" s="58"/>
      <c r="Z115" s="58"/>
      <c r="AA115" s="58"/>
      <c r="AB115" s="58"/>
      <c r="AC115" s="58"/>
      <c r="AD115" s="58"/>
      <c r="AE115" s="58"/>
      <c r="AF115" s="58"/>
    </row>
    <row r="116">
      <c r="A116" s="51" t="s">
        <v>458</v>
      </c>
      <c r="B116" s="52" t="s">
        <v>222</v>
      </c>
      <c r="C116" s="53">
        <v>2.0</v>
      </c>
      <c r="D116" s="54">
        <f t="shared" si="1"/>
        <v>-0.5</v>
      </c>
      <c r="E116" s="55">
        <f t="shared" si="2"/>
        <v>5.5</v>
      </c>
      <c r="F116" s="56">
        <v>1.0</v>
      </c>
      <c r="G116" s="57">
        <f t="shared" si="3"/>
        <v>6</v>
      </c>
      <c r="H116" s="58"/>
      <c r="I116" s="58"/>
      <c r="J116" s="59"/>
      <c r="K116" s="58"/>
      <c r="L116" s="58"/>
      <c r="M116" s="59">
        <v>-2.0</v>
      </c>
      <c r="N116" s="59">
        <v>6.0</v>
      </c>
      <c r="O116" s="58"/>
      <c r="P116" s="58"/>
      <c r="Q116" s="58"/>
      <c r="R116" s="58"/>
      <c r="S116" s="58"/>
      <c r="T116" s="58"/>
      <c r="U116" s="58"/>
      <c r="V116" s="58"/>
      <c r="W116" s="59">
        <v>1.0</v>
      </c>
      <c r="X116" s="58"/>
      <c r="Y116" s="58"/>
      <c r="Z116" s="58"/>
      <c r="AA116" s="58"/>
      <c r="AB116" s="58"/>
      <c r="AC116" s="58"/>
      <c r="AD116" s="58"/>
      <c r="AE116" s="58"/>
      <c r="AF116" s="58"/>
    </row>
    <row r="117">
      <c r="A117" s="51" t="s">
        <v>459</v>
      </c>
      <c r="B117" s="52" t="s">
        <v>222</v>
      </c>
      <c r="C117" s="53"/>
      <c r="D117" s="54">
        <f t="shared" si="1"/>
        <v>2.617820513</v>
      </c>
      <c r="E117" s="55">
        <f t="shared" si="2"/>
        <v>2.617820513</v>
      </c>
      <c r="F117" s="56">
        <v>1.0</v>
      </c>
      <c r="G117" s="57">
        <f t="shared" si="3"/>
        <v>0</v>
      </c>
      <c r="H117" s="58"/>
      <c r="I117" s="58"/>
      <c r="J117" s="58"/>
      <c r="K117" s="59">
        <f>1/4</f>
        <v>0.25</v>
      </c>
      <c r="L117" s="58"/>
      <c r="M117" s="58"/>
      <c r="N117" s="58"/>
      <c r="O117" s="58"/>
      <c r="P117" s="59">
        <f>1/4</f>
        <v>0.25</v>
      </c>
      <c r="Q117" s="59">
        <f>3/4</f>
        <v>0.75</v>
      </c>
      <c r="R117" s="58"/>
      <c r="S117" s="58"/>
      <c r="T117" s="58"/>
      <c r="U117" s="58"/>
      <c r="V117" s="59">
        <f>1/4</f>
        <v>0.25</v>
      </c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</row>
    <row r="118">
      <c r="A118" s="51" t="s">
        <v>460</v>
      </c>
      <c r="B118" s="52" t="s">
        <v>222</v>
      </c>
      <c r="C118" s="86"/>
      <c r="D118" s="54">
        <f t="shared" si="1"/>
        <v>4.5</v>
      </c>
      <c r="E118" s="55">
        <f t="shared" si="2"/>
        <v>9</v>
      </c>
      <c r="F118" s="56">
        <v>0.5</v>
      </c>
      <c r="G118" s="57">
        <f t="shared" si="3"/>
        <v>0</v>
      </c>
      <c r="H118" s="59">
        <v>9.0</v>
      </c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  <c r="AD118" s="58"/>
      <c r="AE118" s="58"/>
      <c r="AF118" s="58"/>
    </row>
    <row r="119">
      <c r="A119" s="51" t="s">
        <v>461</v>
      </c>
      <c r="B119" s="52" t="s">
        <v>222</v>
      </c>
      <c r="C119" s="86"/>
      <c r="D119" s="54">
        <f t="shared" si="1"/>
        <v>4</v>
      </c>
      <c r="E119" s="55">
        <f t="shared" si="2"/>
        <v>2</v>
      </c>
      <c r="F119" s="56">
        <v>2.0</v>
      </c>
      <c r="G119" s="57">
        <f t="shared" si="3"/>
        <v>0</v>
      </c>
      <c r="H119" s="58"/>
      <c r="I119" s="58"/>
      <c r="J119" s="59">
        <v>1.0</v>
      </c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  <c r="AD119" s="58"/>
      <c r="AE119" s="58"/>
      <c r="AF119" s="58"/>
    </row>
    <row r="120">
      <c r="A120" s="51" t="s">
        <v>462</v>
      </c>
      <c r="B120" s="52" t="s">
        <v>222</v>
      </c>
      <c r="C120" s="86"/>
      <c r="D120" s="54">
        <f t="shared" si="1"/>
        <v>2.5</v>
      </c>
      <c r="E120" s="55">
        <f t="shared" si="2"/>
        <v>5</v>
      </c>
      <c r="F120" s="56">
        <v>0.5</v>
      </c>
      <c r="G120" s="57">
        <f t="shared" si="3"/>
        <v>0</v>
      </c>
      <c r="H120" s="59">
        <v>1.0</v>
      </c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9">
        <v>1.0</v>
      </c>
      <c r="T120" s="58"/>
      <c r="U120" s="58"/>
      <c r="V120" s="58"/>
      <c r="W120" s="58"/>
      <c r="X120" s="58"/>
      <c r="Y120" s="58"/>
      <c r="Z120" s="58"/>
      <c r="AA120" s="58"/>
      <c r="AB120" s="58"/>
      <c r="AC120" s="58"/>
      <c r="AD120" s="58"/>
      <c r="AE120" s="58"/>
      <c r="AF120" s="58"/>
    </row>
    <row r="121">
      <c r="A121" s="51" t="s">
        <v>463</v>
      </c>
      <c r="B121" s="52" t="s">
        <v>222</v>
      </c>
      <c r="C121" s="86"/>
      <c r="D121" s="54">
        <f t="shared" si="1"/>
        <v>5</v>
      </c>
      <c r="E121" s="55">
        <f t="shared" si="2"/>
        <v>2.5</v>
      </c>
      <c r="F121" s="56">
        <v>2.0</v>
      </c>
      <c r="G121" s="57">
        <f t="shared" si="3"/>
        <v>0</v>
      </c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9">
        <v>1.0</v>
      </c>
      <c r="W121" s="58"/>
      <c r="X121" s="58"/>
      <c r="Y121" s="58"/>
      <c r="Z121" s="58"/>
      <c r="AA121" s="58"/>
      <c r="AB121" s="58"/>
      <c r="AC121" s="58"/>
      <c r="AD121" s="58"/>
      <c r="AE121" s="58"/>
      <c r="AF121" s="58"/>
    </row>
    <row r="122">
      <c r="A122" s="51" t="s">
        <v>464</v>
      </c>
      <c r="B122" s="52" t="s">
        <v>222</v>
      </c>
      <c r="C122" s="86"/>
      <c r="D122" s="54">
        <f t="shared" si="1"/>
        <v>1.375</v>
      </c>
      <c r="E122" s="55">
        <f t="shared" si="2"/>
        <v>1.375</v>
      </c>
      <c r="F122" s="56">
        <v>1.0</v>
      </c>
      <c r="G122" s="57">
        <f t="shared" si="3"/>
        <v>0</v>
      </c>
      <c r="H122" s="58"/>
      <c r="I122" s="59">
        <v>2.0</v>
      </c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>
        <f>-0.25</f>
        <v>-0.25</v>
      </c>
      <c r="W122" s="58"/>
      <c r="X122" s="58"/>
      <c r="Y122" s="58"/>
      <c r="Z122" s="58"/>
      <c r="AA122" s="58"/>
      <c r="AB122" s="58"/>
      <c r="AC122" s="58"/>
      <c r="AD122" s="58"/>
      <c r="AE122" s="58"/>
      <c r="AF122" s="58"/>
    </row>
    <row r="123">
      <c r="A123" s="51" t="s">
        <v>465</v>
      </c>
      <c r="B123" s="52" t="s">
        <v>222</v>
      </c>
      <c r="C123" s="86"/>
      <c r="D123" s="54">
        <f t="shared" si="1"/>
        <v>2</v>
      </c>
      <c r="E123" s="55">
        <f t="shared" si="2"/>
        <v>4</v>
      </c>
      <c r="F123" s="56">
        <v>0.5</v>
      </c>
      <c r="G123" s="57">
        <f t="shared" si="3"/>
        <v>0</v>
      </c>
      <c r="H123" s="58"/>
      <c r="I123" s="58"/>
      <c r="J123" s="58"/>
      <c r="K123" s="58"/>
      <c r="L123" s="58"/>
      <c r="M123" s="58"/>
      <c r="N123" s="59">
        <f>(6 + 2)/2</f>
        <v>4</v>
      </c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  <c r="AD123" s="58"/>
      <c r="AE123" s="58"/>
      <c r="AF123" s="58"/>
    </row>
    <row r="124">
      <c r="A124" s="51" t="s">
        <v>466</v>
      </c>
      <c r="B124" s="52" t="s">
        <v>222</v>
      </c>
      <c r="C124" s="86"/>
      <c r="D124" s="54">
        <f t="shared" si="1"/>
        <v>4.5</v>
      </c>
      <c r="E124" s="55">
        <f t="shared" si="2"/>
        <v>3</v>
      </c>
      <c r="F124" s="56">
        <v>1.5</v>
      </c>
      <c r="G124" s="57">
        <f t="shared" si="3"/>
        <v>0</v>
      </c>
      <c r="H124" s="58"/>
      <c r="I124" s="58"/>
      <c r="J124" s="59">
        <v>1.5</v>
      </c>
      <c r="K124" s="58"/>
      <c r="L124" s="59"/>
      <c r="M124" s="58"/>
      <c r="N124" s="59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  <c r="AD124" s="58"/>
      <c r="AE124" s="58"/>
      <c r="AF124" s="58"/>
    </row>
    <row r="125">
      <c r="A125" s="51" t="s">
        <v>467</v>
      </c>
      <c r="B125" s="52" t="s">
        <v>222</v>
      </c>
      <c r="C125" s="86"/>
      <c r="D125" s="54">
        <f t="shared" si="1"/>
        <v>4.5</v>
      </c>
      <c r="E125" s="55">
        <f t="shared" si="2"/>
        <v>9</v>
      </c>
      <c r="F125" s="56">
        <v>0.5</v>
      </c>
      <c r="G125" s="57">
        <f t="shared" si="3"/>
        <v>0</v>
      </c>
      <c r="H125" s="59">
        <v>9.0</v>
      </c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  <c r="AD125" s="58"/>
      <c r="AE125" s="58"/>
      <c r="AF125" s="58"/>
    </row>
    <row r="126">
      <c r="A126" s="51" t="s">
        <v>468</v>
      </c>
      <c r="B126" s="52" t="s">
        <v>222</v>
      </c>
      <c r="C126" s="86"/>
      <c r="D126" s="54">
        <f t="shared" si="1"/>
        <v>2.25</v>
      </c>
      <c r="E126" s="55">
        <f t="shared" si="2"/>
        <v>2.25</v>
      </c>
      <c r="F126" s="56">
        <v>1.0</v>
      </c>
      <c r="G126" s="57">
        <f t="shared" si="3"/>
        <v>0</v>
      </c>
      <c r="H126" s="58"/>
      <c r="I126" s="59">
        <v>0.25</v>
      </c>
      <c r="J126" s="59">
        <v>1.0</v>
      </c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  <c r="AD126" s="58"/>
      <c r="AE126" s="58"/>
      <c r="AF126" s="58"/>
    </row>
    <row r="127">
      <c r="A127" s="51" t="s">
        <v>469</v>
      </c>
      <c r="B127" s="52" t="s">
        <v>222</v>
      </c>
      <c r="C127" s="86"/>
      <c r="D127" s="54">
        <f t="shared" si="1"/>
        <v>6</v>
      </c>
      <c r="E127" s="55">
        <f t="shared" si="2"/>
        <v>6</v>
      </c>
      <c r="F127" s="56">
        <v>1.0</v>
      </c>
      <c r="G127" s="57">
        <f t="shared" si="3"/>
        <v>0</v>
      </c>
      <c r="H127" s="58"/>
      <c r="I127" s="58"/>
      <c r="J127" s="58"/>
      <c r="K127" s="58"/>
      <c r="L127" s="59">
        <v>1.0</v>
      </c>
      <c r="M127" s="58"/>
      <c r="N127" s="59">
        <v>2.0</v>
      </c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</row>
    <row r="128">
      <c r="A128" s="51" t="s">
        <v>470</v>
      </c>
      <c r="B128" s="52" t="s">
        <v>222</v>
      </c>
      <c r="C128" s="53">
        <v>1.0</v>
      </c>
      <c r="D128" s="54">
        <f t="shared" si="1"/>
        <v>-1.051282051</v>
      </c>
      <c r="E128" s="55">
        <f t="shared" si="2"/>
        <v>1.948717949</v>
      </c>
      <c r="F128" s="56">
        <v>1.0</v>
      </c>
      <c r="G128" s="57">
        <f t="shared" si="3"/>
        <v>3</v>
      </c>
      <c r="H128" s="58"/>
      <c r="I128" s="58"/>
      <c r="J128" s="58"/>
      <c r="K128" s="59">
        <v>-1.0</v>
      </c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9">
        <v>2.0</v>
      </c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</row>
    <row r="129">
      <c r="A129" s="87"/>
      <c r="B129" s="52" t="s">
        <v>222</v>
      </c>
      <c r="C129" s="86"/>
      <c r="D129" s="54">
        <f t="shared" si="1"/>
        <v>0</v>
      </c>
      <c r="E129" s="55">
        <f t="shared" si="2"/>
        <v>0</v>
      </c>
      <c r="F129" s="56"/>
      <c r="G129" s="57">
        <f t="shared" si="3"/>
        <v>0</v>
      </c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</row>
    <row r="130">
      <c r="A130" s="87"/>
      <c r="B130" s="52" t="s">
        <v>222</v>
      </c>
      <c r="C130" s="86"/>
      <c r="D130" s="54">
        <f t="shared" si="1"/>
        <v>0</v>
      </c>
      <c r="E130" s="55">
        <f t="shared" si="2"/>
        <v>0</v>
      </c>
      <c r="F130" s="56"/>
      <c r="G130" s="57">
        <f t="shared" si="3"/>
        <v>0</v>
      </c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</row>
    <row r="131">
      <c r="A131" s="87"/>
      <c r="B131" s="52" t="s">
        <v>222</v>
      </c>
      <c r="C131" s="86"/>
      <c r="D131" s="54">
        <f t="shared" si="1"/>
        <v>0</v>
      </c>
      <c r="E131" s="55">
        <f t="shared" si="2"/>
        <v>0</v>
      </c>
      <c r="F131" s="56"/>
      <c r="G131" s="57">
        <f t="shared" si="3"/>
        <v>0</v>
      </c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  <c r="AD131" s="58"/>
      <c r="AE131" s="58"/>
      <c r="AF131" s="58"/>
    </row>
    <row r="132">
      <c r="A132" s="87"/>
      <c r="B132" s="52" t="s">
        <v>222</v>
      </c>
      <c r="C132" s="86"/>
      <c r="D132" s="54">
        <f t="shared" si="1"/>
        <v>0</v>
      </c>
      <c r="E132" s="55">
        <f t="shared" si="2"/>
        <v>0</v>
      </c>
      <c r="F132" s="56"/>
      <c r="G132" s="57">
        <f t="shared" si="3"/>
        <v>0</v>
      </c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  <c r="AD132" s="58"/>
      <c r="AE132" s="58"/>
      <c r="AF132" s="58"/>
    </row>
    <row r="133">
      <c r="A133" s="87"/>
      <c r="B133" s="52" t="s">
        <v>222</v>
      </c>
      <c r="C133" s="86"/>
      <c r="D133" s="54">
        <f t="shared" si="1"/>
        <v>0</v>
      </c>
      <c r="E133" s="55">
        <f t="shared" si="2"/>
        <v>0</v>
      </c>
      <c r="F133" s="56"/>
      <c r="G133" s="57">
        <f t="shared" si="3"/>
        <v>0</v>
      </c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</row>
    <row r="134">
      <c r="A134" s="87"/>
      <c r="B134" s="52" t="s">
        <v>222</v>
      </c>
      <c r="C134" s="86"/>
      <c r="D134" s="54">
        <f t="shared" si="1"/>
        <v>0</v>
      </c>
      <c r="E134" s="55">
        <f t="shared" si="2"/>
        <v>0</v>
      </c>
      <c r="F134" s="56"/>
      <c r="G134" s="57">
        <f t="shared" si="3"/>
        <v>0</v>
      </c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  <c r="AD134" s="58"/>
      <c r="AE134" s="58"/>
      <c r="AF134" s="58"/>
    </row>
    <row r="135">
      <c r="A135" s="87"/>
      <c r="B135" s="52" t="s">
        <v>222</v>
      </c>
      <c r="C135" s="86"/>
      <c r="D135" s="54">
        <f t="shared" si="1"/>
        <v>0</v>
      </c>
      <c r="E135" s="55">
        <f t="shared" si="2"/>
        <v>0</v>
      </c>
      <c r="F135" s="56"/>
      <c r="G135" s="57">
        <f t="shared" si="3"/>
        <v>0</v>
      </c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  <c r="AD135" s="58"/>
      <c r="AE135" s="58"/>
      <c r="AF135" s="58"/>
    </row>
    <row r="136">
      <c r="A136" s="87"/>
      <c r="B136" s="52" t="s">
        <v>222</v>
      </c>
      <c r="C136" s="86"/>
      <c r="D136" s="54">
        <f t="shared" si="1"/>
        <v>0</v>
      </c>
      <c r="E136" s="55">
        <f t="shared" si="2"/>
        <v>0</v>
      </c>
      <c r="F136" s="56"/>
      <c r="G136" s="57">
        <f t="shared" si="3"/>
        <v>0</v>
      </c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  <c r="AD136" s="58"/>
      <c r="AE136" s="58"/>
      <c r="AF136" s="58"/>
    </row>
    <row r="137">
      <c r="A137" s="87"/>
      <c r="B137" s="52" t="s">
        <v>222</v>
      </c>
      <c r="C137" s="86"/>
      <c r="D137" s="54">
        <f t="shared" si="1"/>
        <v>0</v>
      </c>
      <c r="E137" s="55">
        <f t="shared" si="2"/>
        <v>0</v>
      </c>
      <c r="F137" s="56"/>
      <c r="G137" s="57">
        <f t="shared" si="3"/>
        <v>0</v>
      </c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  <c r="AD137" s="58"/>
      <c r="AE137" s="58"/>
      <c r="AF137" s="58"/>
    </row>
    <row r="138">
      <c r="A138" s="87"/>
      <c r="B138" s="52" t="s">
        <v>222</v>
      </c>
      <c r="C138" s="86"/>
      <c r="D138" s="54">
        <f t="shared" si="1"/>
        <v>0</v>
      </c>
      <c r="E138" s="55">
        <f t="shared" si="2"/>
        <v>0</v>
      </c>
      <c r="F138" s="56"/>
      <c r="G138" s="57">
        <f t="shared" si="3"/>
        <v>0</v>
      </c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  <c r="AD138" s="58"/>
      <c r="AE138" s="58"/>
      <c r="AF138" s="58"/>
    </row>
    <row r="139">
      <c r="A139" s="87"/>
      <c r="B139" s="52" t="s">
        <v>222</v>
      </c>
      <c r="C139" s="86"/>
      <c r="D139" s="54">
        <f t="shared" si="1"/>
        <v>0</v>
      </c>
      <c r="E139" s="55">
        <f t="shared" si="2"/>
        <v>0</v>
      </c>
      <c r="F139" s="56"/>
      <c r="G139" s="57">
        <f t="shared" si="3"/>
        <v>0</v>
      </c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8"/>
      <c r="AD139" s="58"/>
      <c r="AE139" s="58"/>
      <c r="AF139" s="58"/>
    </row>
    <row r="140">
      <c r="A140" s="87"/>
      <c r="B140" s="52" t="s">
        <v>222</v>
      </c>
      <c r="C140" s="86"/>
      <c r="D140" s="54">
        <f t="shared" si="1"/>
        <v>0</v>
      </c>
      <c r="E140" s="55">
        <f t="shared" si="2"/>
        <v>0</v>
      </c>
      <c r="F140" s="56"/>
      <c r="G140" s="57">
        <f t="shared" si="3"/>
        <v>0</v>
      </c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  <c r="AC140" s="58"/>
      <c r="AD140" s="58"/>
      <c r="AE140" s="58"/>
      <c r="AF140" s="58"/>
    </row>
    <row r="141">
      <c r="A141" s="87"/>
      <c r="B141" s="52" t="s">
        <v>222</v>
      </c>
      <c r="C141" s="86"/>
      <c r="D141" s="54">
        <f t="shared" si="1"/>
        <v>0</v>
      </c>
      <c r="E141" s="55">
        <f t="shared" si="2"/>
        <v>0</v>
      </c>
      <c r="F141" s="56"/>
      <c r="G141" s="57">
        <f t="shared" si="3"/>
        <v>0</v>
      </c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  <c r="AC141" s="58"/>
      <c r="AD141" s="58"/>
      <c r="AE141" s="58"/>
      <c r="AF141" s="58"/>
    </row>
    <row r="142">
      <c r="A142" s="87"/>
      <c r="B142" s="52" t="s">
        <v>222</v>
      </c>
      <c r="C142" s="86"/>
      <c r="D142" s="54">
        <f t="shared" si="1"/>
        <v>0</v>
      </c>
      <c r="E142" s="55">
        <f t="shared" si="2"/>
        <v>0</v>
      </c>
      <c r="F142" s="56"/>
      <c r="G142" s="57">
        <f t="shared" si="3"/>
        <v>0</v>
      </c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</row>
    <row r="143">
      <c r="A143" s="87"/>
      <c r="B143" s="52" t="s">
        <v>222</v>
      </c>
      <c r="C143" s="86"/>
      <c r="D143" s="54">
        <f t="shared" si="1"/>
        <v>0</v>
      </c>
      <c r="E143" s="55">
        <f t="shared" si="2"/>
        <v>0</v>
      </c>
      <c r="F143" s="56"/>
      <c r="G143" s="57">
        <f t="shared" si="3"/>
        <v>0</v>
      </c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  <c r="AC143" s="58"/>
      <c r="AD143" s="58"/>
      <c r="AE143" s="58"/>
      <c r="AF143" s="58"/>
    </row>
    <row r="144">
      <c r="A144" s="87"/>
      <c r="B144" s="52" t="s">
        <v>222</v>
      </c>
      <c r="C144" s="86"/>
      <c r="D144" s="54">
        <f t="shared" si="1"/>
        <v>0</v>
      </c>
      <c r="E144" s="55">
        <f t="shared" si="2"/>
        <v>0</v>
      </c>
      <c r="F144" s="56"/>
      <c r="G144" s="57">
        <f t="shared" si="3"/>
        <v>0</v>
      </c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  <c r="AC144" s="58"/>
      <c r="AD144" s="58"/>
      <c r="AE144" s="58"/>
      <c r="AF144" s="58"/>
    </row>
    <row r="145">
      <c r="A145" s="87"/>
      <c r="B145" s="52" t="s">
        <v>222</v>
      </c>
      <c r="C145" s="86"/>
      <c r="D145" s="54">
        <f t="shared" si="1"/>
        <v>0</v>
      </c>
      <c r="E145" s="55">
        <f t="shared" si="2"/>
        <v>0</v>
      </c>
      <c r="F145" s="56"/>
      <c r="G145" s="57">
        <f t="shared" si="3"/>
        <v>0</v>
      </c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  <c r="AC145" s="58"/>
      <c r="AD145" s="58"/>
      <c r="AE145" s="58"/>
      <c r="AF145" s="58"/>
    </row>
    <row r="146">
      <c r="A146" s="87"/>
      <c r="B146" s="52" t="s">
        <v>222</v>
      </c>
      <c r="C146" s="86"/>
      <c r="D146" s="54">
        <f t="shared" si="1"/>
        <v>0</v>
      </c>
      <c r="E146" s="55">
        <f t="shared" si="2"/>
        <v>0</v>
      </c>
      <c r="F146" s="56"/>
      <c r="G146" s="57">
        <f t="shared" si="3"/>
        <v>0</v>
      </c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  <c r="AC146" s="58"/>
      <c r="AD146" s="58"/>
      <c r="AE146" s="58"/>
      <c r="AF146" s="58"/>
    </row>
    <row r="147">
      <c r="A147" s="87"/>
      <c r="B147" s="52" t="s">
        <v>222</v>
      </c>
      <c r="C147" s="86"/>
      <c r="D147" s="54">
        <f t="shared" si="1"/>
        <v>0</v>
      </c>
      <c r="E147" s="55">
        <f t="shared" si="2"/>
        <v>0</v>
      </c>
      <c r="F147" s="56"/>
      <c r="G147" s="57">
        <f t="shared" si="3"/>
        <v>0</v>
      </c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  <c r="AC147" s="58"/>
      <c r="AD147" s="58"/>
      <c r="AE147" s="58"/>
      <c r="AF147" s="58"/>
    </row>
    <row r="148">
      <c r="A148" s="87"/>
      <c r="B148" s="52" t="s">
        <v>222</v>
      </c>
      <c r="C148" s="86"/>
      <c r="D148" s="54">
        <f t="shared" si="1"/>
        <v>0</v>
      </c>
      <c r="E148" s="55">
        <f t="shared" si="2"/>
        <v>0</v>
      </c>
      <c r="F148" s="56"/>
      <c r="G148" s="57">
        <f t="shared" si="3"/>
        <v>0</v>
      </c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</row>
    <row r="149">
      <c r="A149" s="87"/>
      <c r="B149" s="52" t="s">
        <v>222</v>
      </c>
      <c r="C149" s="86"/>
      <c r="D149" s="54">
        <f t="shared" si="1"/>
        <v>0</v>
      </c>
      <c r="E149" s="55">
        <f t="shared" si="2"/>
        <v>0</v>
      </c>
      <c r="F149" s="56"/>
      <c r="G149" s="57">
        <f t="shared" si="3"/>
        <v>0</v>
      </c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  <c r="AC149" s="58"/>
      <c r="AD149" s="58"/>
      <c r="AE149" s="58"/>
      <c r="AF149" s="58"/>
    </row>
    <row r="150">
      <c r="A150" s="87"/>
      <c r="B150" s="52" t="s">
        <v>222</v>
      </c>
      <c r="C150" s="86"/>
      <c r="D150" s="54">
        <f t="shared" si="1"/>
        <v>0</v>
      </c>
      <c r="E150" s="55">
        <f t="shared" si="2"/>
        <v>0</v>
      </c>
      <c r="F150" s="56"/>
      <c r="G150" s="57">
        <f t="shared" si="3"/>
        <v>0</v>
      </c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  <c r="AC150" s="58"/>
      <c r="AD150" s="58"/>
      <c r="AE150" s="58"/>
      <c r="AF150" s="58"/>
    </row>
    <row r="151">
      <c r="A151" s="87"/>
      <c r="B151" s="96"/>
      <c r="C151" s="86"/>
      <c r="D151" s="54">
        <f t="shared" si="1"/>
        <v>0</v>
      </c>
      <c r="E151" s="55">
        <f t="shared" si="2"/>
        <v>0</v>
      </c>
      <c r="F151" s="56"/>
      <c r="G151" s="57">
        <f t="shared" si="3"/>
        <v>0</v>
      </c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  <c r="AC151" s="58"/>
      <c r="AD151" s="58"/>
      <c r="AE151" s="58"/>
      <c r="AF151" s="58"/>
    </row>
    <row r="152">
      <c r="A152" s="87"/>
      <c r="B152" s="96"/>
      <c r="C152" s="86"/>
      <c r="D152" s="54">
        <f t="shared" si="1"/>
        <v>0</v>
      </c>
      <c r="E152" s="55">
        <f t="shared" si="2"/>
        <v>0</v>
      </c>
      <c r="F152" s="56"/>
      <c r="G152" s="57">
        <f t="shared" si="3"/>
        <v>0</v>
      </c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  <c r="AC152" s="58"/>
      <c r="AD152" s="58"/>
      <c r="AE152" s="58"/>
      <c r="AF152" s="58"/>
    </row>
    <row r="153">
      <c r="A153" s="87"/>
      <c r="B153" s="96"/>
      <c r="C153" s="86"/>
      <c r="D153" s="54">
        <f t="shared" si="1"/>
        <v>0</v>
      </c>
      <c r="E153" s="55">
        <f t="shared" si="2"/>
        <v>0</v>
      </c>
      <c r="F153" s="56"/>
      <c r="G153" s="57">
        <f t="shared" si="3"/>
        <v>0</v>
      </c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</row>
    <row r="154">
      <c r="A154" s="87"/>
      <c r="B154" s="96"/>
      <c r="C154" s="86"/>
      <c r="D154" s="54">
        <f t="shared" si="1"/>
        <v>0</v>
      </c>
      <c r="E154" s="55">
        <f t="shared" si="2"/>
        <v>0</v>
      </c>
      <c r="F154" s="56"/>
      <c r="G154" s="57">
        <f t="shared" si="3"/>
        <v>0</v>
      </c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</row>
    <row r="155">
      <c r="A155" s="87"/>
      <c r="B155" s="96"/>
      <c r="C155" s="86"/>
      <c r="D155" s="54">
        <f t="shared" si="1"/>
        <v>0</v>
      </c>
      <c r="E155" s="55">
        <f t="shared" si="2"/>
        <v>0</v>
      </c>
      <c r="F155" s="56"/>
      <c r="G155" s="57">
        <f t="shared" si="3"/>
        <v>0</v>
      </c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</row>
    <row r="156">
      <c r="A156" s="87"/>
      <c r="B156" s="96"/>
      <c r="C156" s="86"/>
      <c r="D156" s="54">
        <f t="shared" si="1"/>
        <v>0</v>
      </c>
      <c r="E156" s="55">
        <f t="shared" si="2"/>
        <v>0</v>
      </c>
      <c r="F156" s="56"/>
      <c r="G156" s="57">
        <f t="shared" si="3"/>
        <v>0</v>
      </c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</row>
    <row r="157">
      <c r="A157" s="87"/>
      <c r="B157" s="96"/>
      <c r="C157" s="86"/>
      <c r="D157" s="54">
        <f t="shared" si="1"/>
        <v>0</v>
      </c>
      <c r="E157" s="55">
        <f t="shared" si="2"/>
        <v>0</v>
      </c>
      <c r="F157" s="56"/>
      <c r="G157" s="57">
        <f t="shared" si="3"/>
        <v>0</v>
      </c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</row>
    <row r="158">
      <c r="A158" s="87"/>
      <c r="B158" s="96"/>
      <c r="C158" s="86"/>
      <c r="D158" s="54">
        <f t="shared" si="1"/>
        <v>0</v>
      </c>
      <c r="E158" s="55">
        <f t="shared" si="2"/>
        <v>0</v>
      </c>
      <c r="F158" s="56"/>
      <c r="G158" s="57">
        <f t="shared" si="3"/>
        <v>0</v>
      </c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</row>
    <row r="159">
      <c r="A159" s="87"/>
      <c r="B159" s="96"/>
      <c r="C159" s="86"/>
      <c r="D159" s="54">
        <f t="shared" si="1"/>
        <v>0</v>
      </c>
      <c r="E159" s="55">
        <f t="shared" si="2"/>
        <v>0</v>
      </c>
      <c r="F159" s="56"/>
      <c r="G159" s="57">
        <f t="shared" si="3"/>
        <v>0</v>
      </c>
      <c r="H159" s="58"/>
      <c r="I159" s="58"/>
      <c r="J159" s="58"/>
      <c r="K159" s="58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</row>
    <row r="160">
      <c r="A160" s="87"/>
      <c r="B160" s="96"/>
      <c r="C160" s="86"/>
      <c r="D160" s="54">
        <f t="shared" si="1"/>
        <v>0</v>
      </c>
      <c r="E160" s="55">
        <f t="shared" si="2"/>
        <v>0</v>
      </c>
      <c r="F160" s="56"/>
      <c r="G160" s="57">
        <f t="shared" si="3"/>
        <v>0</v>
      </c>
      <c r="H160" s="58"/>
      <c r="I160" s="58"/>
      <c r="J160" s="58"/>
      <c r="K160" s="58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</row>
    <row r="161">
      <c r="A161" s="87"/>
      <c r="B161" s="96"/>
      <c r="C161" s="86"/>
      <c r="D161" s="54">
        <f t="shared" si="1"/>
        <v>0</v>
      </c>
      <c r="E161" s="55">
        <f t="shared" si="2"/>
        <v>0</v>
      </c>
      <c r="F161" s="56"/>
      <c r="G161" s="57">
        <f t="shared" si="3"/>
        <v>0</v>
      </c>
      <c r="H161" s="58"/>
      <c r="I161" s="58"/>
      <c r="J161" s="58"/>
      <c r="K161" s="58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</row>
    <row r="162">
      <c r="A162" s="87"/>
      <c r="B162" s="96"/>
      <c r="C162" s="86"/>
      <c r="D162" s="54">
        <f t="shared" si="1"/>
        <v>0</v>
      </c>
      <c r="E162" s="55">
        <f t="shared" si="2"/>
        <v>0</v>
      </c>
      <c r="F162" s="56"/>
      <c r="G162" s="57">
        <f t="shared" si="3"/>
        <v>0</v>
      </c>
      <c r="H162" s="58"/>
      <c r="I162" s="58"/>
      <c r="J162" s="58"/>
      <c r="K162" s="58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</row>
    <row r="163">
      <c r="A163" s="87"/>
      <c r="B163" s="96"/>
      <c r="C163" s="86"/>
      <c r="D163" s="54">
        <f t="shared" si="1"/>
        <v>0</v>
      </c>
      <c r="E163" s="55">
        <f t="shared" si="2"/>
        <v>0</v>
      </c>
      <c r="F163" s="56"/>
      <c r="G163" s="57">
        <f t="shared" si="3"/>
        <v>0</v>
      </c>
      <c r="H163" s="58"/>
      <c r="I163" s="58"/>
      <c r="J163" s="58"/>
      <c r="K163" s="58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</row>
    <row r="164">
      <c r="A164" s="87"/>
      <c r="B164" s="96"/>
      <c r="C164" s="86"/>
      <c r="D164" s="54">
        <f t="shared" si="1"/>
        <v>0</v>
      </c>
      <c r="E164" s="55">
        <f t="shared" si="2"/>
        <v>0</v>
      </c>
      <c r="F164" s="56"/>
      <c r="G164" s="57">
        <f t="shared" si="3"/>
        <v>0</v>
      </c>
      <c r="H164" s="58"/>
      <c r="I164" s="58"/>
      <c r="J164" s="58"/>
      <c r="K164" s="58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</row>
    <row r="165">
      <c r="A165" s="87"/>
      <c r="B165" s="96"/>
      <c r="C165" s="86"/>
      <c r="D165" s="54">
        <f t="shared" si="1"/>
        <v>0</v>
      </c>
      <c r="E165" s="55">
        <f t="shared" si="2"/>
        <v>0</v>
      </c>
      <c r="F165" s="56"/>
      <c r="G165" s="57">
        <f t="shared" si="3"/>
        <v>0</v>
      </c>
      <c r="H165" s="58"/>
      <c r="I165" s="58"/>
      <c r="J165" s="58"/>
      <c r="K165" s="58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</row>
    <row r="166">
      <c r="A166" s="87"/>
      <c r="B166" s="96"/>
      <c r="C166" s="86"/>
      <c r="D166" s="54">
        <f t="shared" si="1"/>
        <v>0</v>
      </c>
      <c r="E166" s="55">
        <f t="shared" si="2"/>
        <v>0</v>
      </c>
      <c r="F166" s="56"/>
      <c r="G166" s="57">
        <f t="shared" si="3"/>
        <v>0</v>
      </c>
      <c r="H166" s="58"/>
      <c r="I166" s="58"/>
      <c r="J166" s="58"/>
      <c r="K166" s="58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</row>
    <row r="167">
      <c r="A167" s="87"/>
      <c r="B167" s="96"/>
      <c r="C167" s="86"/>
      <c r="D167" s="54">
        <f t="shared" si="1"/>
        <v>0</v>
      </c>
      <c r="E167" s="55">
        <f t="shared" si="2"/>
        <v>0</v>
      </c>
      <c r="F167" s="56"/>
      <c r="G167" s="57">
        <f t="shared" si="3"/>
        <v>0</v>
      </c>
      <c r="H167" s="58"/>
      <c r="I167" s="58"/>
      <c r="J167" s="58"/>
      <c r="K167" s="58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</row>
    <row r="168">
      <c r="A168" s="87"/>
      <c r="B168" s="96"/>
      <c r="C168" s="86"/>
      <c r="D168" s="54">
        <f t="shared" si="1"/>
        <v>0</v>
      </c>
      <c r="E168" s="55">
        <f t="shared" si="2"/>
        <v>0</v>
      </c>
      <c r="F168" s="56"/>
      <c r="G168" s="57">
        <f t="shared" si="3"/>
        <v>0</v>
      </c>
      <c r="H168" s="58"/>
      <c r="I168" s="58"/>
      <c r="J168" s="58"/>
      <c r="K168" s="58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  <c r="AC168" s="58"/>
      <c r="AD168" s="58"/>
      <c r="AE168" s="58"/>
      <c r="AF168" s="58"/>
    </row>
    <row r="169">
      <c r="A169" s="87"/>
      <c r="B169" s="96"/>
      <c r="C169" s="86"/>
      <c r="D169" s="54">
        <f t="shared" si="1"/>
        <v>0</v>
      </c>
      <c r="E169" s="55">
        <f t="shared" si="2"/>
        <v>0</v>
      </c>
      <c r="F169" s="56"/>
      <c r="G169" s="57">
        <f t="shared" si="3"/>
        <v>0</v>
      </c>
      <c r="H169" s="58"/>
      <c r="I169" s="58"/>
      <c r="J169" s="58"/>
      <c r="K169" s="58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  <c r="AC169" s="58"/>
      <c r="AD169" s="58"/>
      <c r="AE169" s="58"/>
      <c r="AF169" s="58"/>
    </row>
    <row r="170">
      <c r="A170" s="87"/>
      <c r="B170" s="96"/>
      <c r="C170" s="86"/>
      <c r="D170" s="54">
        <f t="shared" si="1"/>
        <v>0</v>
      </c>
      <c r="E170" s="55">
        <f t="shared" si="2"/>
        <v>0</v>
      </c>
      <c r="F170" s="56"/>
      <c r="G170" s="57">
        <f t="shared" si="3"/>
        <v>0</v>
      </c>
      <c r="H170" s="58"/>
      <c r="I170" s="58"/>
      <c r="J170" s="58"/>
      <c r="K170" s="58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  <c r="AC170" s="58"/>
      <c r="AD170" s="58"/>
      <c r="AE170" s="58"/>
      <c r="AF170" s="58"/>
    </row>
    <row r="171">
      <c r="A171" s="87"/>
      <c r="B171" s="96"/>
      <c r="C171" s="86"/>
      <c r="D171" s="54">
        <f t="shared" si="1"/>
        <v>0</v>
      </c>
      <c r="E171" s="55">
        <f t="shared" si="2"/>
        <v>0</v>
      </c>
      <c r="F171" s="56"/>
      <c r="G171" s="57">
        <f t="shared" si="3"/>
        <v>0</v>
      </c>
      <c r="H171" s="58"/>
      <c r="I171" s="58"/>
      <c r="J171" s="58"/>
      <c r="K171" s="58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  <c r="AC171" s="58"/>
      <c r="AD171" s="58"/>
      <c r="AE171" s="58"/>
      <c r="AF171" s="58"/>
    </row>
    <row r="172">
      <c r="A172" s="87"/>
      <c r="B172" s="96"/>
      <c r="C172" s="86"/>
      <c r="D172" s="54">
        <f t="shared" si="1"/>
        <v>0</v>
      </c>
      <c r="E172" s="55">
        <f t="shared" si="2"/>
        <v>0</v>
      </c>
      <c r="F172" s="56"/>
      <c r="G172" s="57">
        <f t="shared" si="3"/>
        <v>0</v>
      </c>
      <c r="H172" s="58"/>
      <c r="I172" s="58"/>
      <c r="J172" s="58"/>
      <c r="K172" s="58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  <c r="AC172" s="58"/>
      <c r="AD172" s="58"/>
      <c r="AE172" s="58"/>
      <c r="AF172" s="58"/>
    </row>
    <row r="173">
      <c r="A173" s="87"/>
      <c r="B173" s="96"/>
      <c r="C173" s="86"/>
      <c r="D173" s="54">
        <f t="shared" si="1"/>
        <v>0</v>
      </c>
      <c r="E173" s="55">
        <f t="shared" si="2"/>
        <v>0</v>
      </c>
      <c r="F173" s="56"/>
      <c r="G173" s="57">
        <f t="shared" si="3"/>
        <v>0</v>
      </c>
      <c r="H173" s="58"/>
      <c r="I173" s="58"/>
      <c r="J173" s="58"/>
      <c r="K173" s="58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  <c r="AC173" s="58"/>
      <c r="AD173" s="58"/>
      <c r="AE173" s="58"/>
      <c r="AF173" s="58"/>
    </row>
    <row r="174">
      <c r="A174" s="87"/>
      <c r="B174" s="96"/>
      <c r="C174" s="86"/>
      <c r="D174" s="54">
        <f t="shared" si="1"/>
        <v>0</v>
      </c>
      <c r="E174" s="55">
        <f t="shared" si="2"/>
        <v>0</v>
      </c>
      <c r="F174" s="56"/>
      <c r="G174" s="57">
        <f t="shared" si="3"/>
        <v>0</v>
      </c>
      <c r="H174" s="58"/>
      <c r="I174" s="58"/>
      <c r="J174" s="58"/>
      <c r="K174" s="58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  <c r="AC174" s="58"/>
      <c r="AD174" s="58"/>
      <c r="AE174" s="58"/>
      <c r="AF174" s="58"/>
    </row>
    <row r="175">
      <c r="A175" s="87"/>
      <c r="B175" s="96"/>
      <c r="C175" s="86"/>
      <c r="D175" s="54">
        <f t="shared" si="1"/>
        <v>0</v>
      </c>
      <c r="E175" s="55">
        <f t="shared" si="2"/>
        <v>0</v>
      </c>
      <c r="F175" s="56"/>
      <c r="G175" s="57">
        <f t="shared" si="3"/>
        <v>0</v>
      </c>
      <c r="H175" s="58"/>
      <c r="I175" s="58"/>
      <c r="J175" s="58"/>
      <c r="K175" s="58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  <c r="AC175" s="58"/>
      <c r="AD175" s="58"/>
      <c r="AE175" s="58"/>
      <c r="AF175" s="58"/>
    </row>
    <row r="176">
      <c r="A176" s="87"/>
      <c r="B176" s="96"/>
      <c r="C176" s="86"/>
      <c r="D176" s="54">
        <f t="shared" si="1"/>
        <v>0</v>
      </c>
      <c r="E176" s="55">
        <f t="shared" si="2"/>
        <v>0</v>
      </c>
      <c r="F176" s="56"/>
      <c r="G176" s="57">
        <f t="shared" si="3"/>
        <v>0</v>
      </c>
      <c r="H176" s="58"/>
      <c r="I176" s="58"/>
      <c r="J176" s="58"/>
      <c r="K176" s="58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  <c r="AC176" s="58"/>
      <c r="AD176" s="58"/>
      <c r="AE176" s="58"/>
      <c r="AF176" s="58"/>
    </row>
    <row r="177">
      <c r="A177" s="87"/>
      <c r="B177" s="96"/>
      <c r="C177" s="86"/>
      <c r="D177" s="54">
        <f t="shared" si="1"/>
        <v>0</v>
      </c>
      <c r="E177" s="55">
        <f t="shared" si="2"/>
        <v>0</v>
      </c>
      <c r="F177" s="56"/>
      <c r="G177" s="57">
        <f t="shared" si="3"/>
        <v>0</v>
      </c>
      <c r="H177" s="58"/>
      <c r="I177" s="58"/>
      <c r="J177" s="58"/>
      <c r="K177" s="58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  <c r="AC177" s="58"/>
      <c r="AD177" s="58"/>
      <c r="AE177" s="58"/>
      <c r="AF177" s="58"/>
    </row>
    <row r="178">
      <c r="A178" s="87"/>
      <c r="B178" s="96"/>
      <c r="C178" s="86"/>
      <c r="D178" s="54">
        <f t="shared" si="1"/>
        <v>0</v>
      </c>
      <c r="E178" s="55">
        <f t="shared" si="2"/>
        <v>0</v>
      </c>
      <c r="F178" s="56"/>
      <c r="G178" s="57">
        <f t="shared" si="3"/>
        <v>0</v>
      </c>
      <c r="H178" s="58"/>
      <c r="I178" s="58"/>
      <c r="J178" s="58"/>
      <c r="K178" s="58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</row>
    <row r="179">
      <c r="A179" s="87"/>
      <c r="B179" s="96"/>
      <c r="C179" s="86"/>
      <c r="D179" s="54">
        <f t="shared" si="1"/>
        <v>0</v>
      </c>
      <c r="E179" s="55">
        <f t="shared" si="2"/>
        <v>0</v>
      </c>
      <c r="F179" s="56"/>
      <c r="G179" s="57">
        <f t="shared" si="3"/>
        <v>0</v>
      </c>
      <c r="H179" s="58"/>
      <c r="I179" s="58"/>
      <c r="J179" s="58"/>
      <c r="K179" s="58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  <c r="AC179" s="58"/>
      <c r="AD179" s="58"/>
      <c r="AE179" s="58"/>
      <c r="AF179" s="58"/>
    </row>
    <row r="180">
      <c r="A180" s="87"/>
      <c r="B180" s="96"/>
      <c r="C180" s="86"/>
      <c r="D180" s="54">
        <f t="shared" si="1"/>
        <v>0</v>
      </c>
      <c r="E180" s="55">
        <f t="shared" si="2"/>
        <v>0</v>
      </c>
      <c r="F180" s="56"/>
      <c r="G180" s="57">
        <f t="shared" si="3"/>
        <v>0</v>
      </c>
      <c r="H180" s="58"/>
      <c r="I180" s="58"/>
      <c r="J180" s="58"/>
      <c r="K180" s="58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  <c r="AC180" s="58"/>
      <c r="AD180" s="58"/>
      <c r="AE180" s="58"/>
      <c r="AF180" s="58"/>
    </row>
    <row r="181">
      <c r="A181" s="87"/>
      <c r="B181" s="96"/>
      <c r="C181" s="86"/>
      <c r="D181" s="54">
        <f t="shared" si="1"/>
        <v>0</v>
      </c>
      <c r="E181" s="55">
        <f t="shared" si="2"/>
        <v>0</v>
      </c>
      <c r="F181" s="56"/>
      <c r="G181" s="57">
        <f t="shared" si="3"/>
        <v>0</v>
      </c>
      <c r="H181" s="58"/>
      <c r="I181" s="58"/>
      <c r="J181" s="58"/>
      <c r="K181" s="58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</row>
    <row r="182">
      <c r="A182" s="87"/>
      <c r="B182" s="96"/>
      <c r="C182" s="86"/>
      <c r="D182" s="54">
        <f t="shared" si="1"/>
        <v>0</v>
      </c>
      <c r="E182" s="55">
        <f t="shared" si="2"/>
        <v>0</v>
      </c>
      <c r="F182" s="56"/>
      <c r="G182" s="57">
        <f t="shared" si="3"/>
        <v>0</v>
      </c>
      <c r="H182" s="58"/>
      <c r="I182" s="58"/>
      <c r="J182" s="58"/>
      <c r="K182" s="58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  <c r="AC182" s="58"/>
      <c r="AD182" s="58"/>
      <c r="AE182" s="58"/>
      <c r="AF182" s="58"/>
    </row>
    <row r="183">
      <c r="A183" s="87"/>
      <c r="B183" s="96"/>
      <c r="C183" s="86"/>
      <c r="D183" s="54">
        <f t="shared" si="1"/>
        <v>0</v>
      </c>
      <c r="E183" s="55">
        <f t="shared" si="2"/>
        <v>0</v>
      </c>
      <c r="F183" s="56"/>
      <c r="G183" s="57">
        <f t="shared" si="3"/>
        <v>0</v>
      </c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  <c r="AC183" s="58"/>
      <c r="AD183" s="58"/>
      <c r="AE183" s="58"/>
      <c r="AF183" s="58"/>
    </row>
    <row r="184">
      <c r="A184" s="87"/>
      <c r="B184" s="96"/>
      <c r="C184" s="86"/>
      <c r="D184" s="54">
        <f t="shared" si="1"/>
        <v>0</v>
      </c>
      <c r="E184" s="55">
        <f t="shared" si="2"/>
        <v>0</v>
      </c>
      <c r="F184" s="56"/>
      <c r="G184" s="57">
        <f t="shared" si="3"/>
        <v>0</v>
      </c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  <c r="AC184" s="58"/>
      <c r="AD184" s="58"/>
      <c r="AE184" s="58"/>
      <c r="AF184" s="58"/>
    </row>
    <row r="185">
      <c r="A185" s="87"/>
      <c r="B185" s="96"/>
      <c r="C185" s="86"/>
      <c r="D185" s="54">
        <f t="shared" si="1"/>
        <v>0</v>
      </c>
      <c r="E185" s="55">
        <f t="shared" si="2"/>
        <v>0</v>
      </c>
      <c r="F185" s="56"/>
      <c r="G185" s="57">
        <f t="shared" si="3"/>
        <v>0</v>
      </c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  <c r="AC185" s="58"/>
      <c r="AD185" s="58"/>
      <c r="AE185" s="58"/>
      <c r="AF185" s="58"/>
    </row>
    <row r="186">
      <c r="A186" s="87"/>
      <c r="B186" s="96"/>
      <c r="C186" s="86"/>
      <c r="D186" s="54">
        <f t="shared" si="1"/>
        <v>0</v>
      </c>
      <c r="E186" s="55">
        <f t="shared" si="2"/>
        <v>0</v>
      </c>
      <c r="F186" s="56"/>
      <c r="G186" s="57">
        <f t="shared" si="3"/>
        <v>0</v>
      </c>
      <c r="H186" s="58"/>
      <c r="I186" s="58"/>
      <c r="J186" s="58"/>
      <c r="K186" s="58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  <c r="AC186" s="58"/>
      <c r="AD186" s="58"/>
      <c r="AE186" s="58"/>
      <c r="AF186" s="58"/>
    </row>
    <row r="187">
      <c r="A187" s="87"/>
      <c r="B187" s="96"/>
      <c r="C187" s="86"/>
      <c r="D187" s="54">
        <f t="shared" si="1"/>
        <v>0</v>
      </c>
      <c r="E187" s="55">
        <f t="shared" si="2"/>
        <v>0</v>
      </c>
      <c r="F187" s="56"/>
      <c r="G187" s="57">
        <f t="shared" si="3"/>
        <v>0</v>
      </c>
      <c r="H187" s="58"/>
      <c r="I187" s="58"/>
      <c r="J187" s="58"/>
      <c r="K187" s="58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8"/>
      <c r="AD187" s="58"/>
      <c r="AE187" s="58"/>
      <c r="AF187" s="58"/>
    </row>
    <row r="188">
      <c r="A188" s="87"/>
      <c r="B188" s="96"/>
      <c r="C188" s="86"/>
      <c r="D188" s="54">
        <f t="shared" si="1"/>
        <v>0</v>
      </c>
      <c r="E188" s="55">
        <f t="shared" si="2"/>
        <v>0</v>
      </c>
      <c r="F188" s="56"/>
      <c r="G188" s="57">
        <f t="shared" si="3"/>
        <v>0</v>
      </c>
      <c r="H188" s="58"/>
      <c r="I188" s="58"/>
      <c r="J188" s="58"/>
      <c r="K188" s="58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  <c r="AC188" s="58"/>
      <c r="AD188" s="58"/>
      <c r="AE188" s="58"/>
      <c r="AF188" s="58"/>
    </row>
    <row r="189">
      <c r="A189" s="87"/>
      <c r="B189" s="96"/>
      <c r="C189" s="86"/>
      <c r="D189" s="54">
        <f t="shared" si="1"/>
        <v>0</v>
      </c>
      <c r="E189" s="55">
        <f t="shared" si="2"/>
        <v>0</v>
      </c>
      <c r="F189" s="56"/>
      <c r="G189" s="57">
        <f t="shared" si="3"/>
        <v>0</v>
      </c>
      <c r="H189" s="58"/>
      <c r="I189" s="58"/>
      <c r="J189" s="58"/>
      <c r="K189" s="58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  <c r="AC189" s="58"/>
      <c r="AD189" s="58"/>
      <c r="AE189" s="58"/>
      <c r="AF189" s="58"/>
    </row>
    <row r="190">
      <c r="A190" s="87"/>
      <c r="B190" s="96"/>
      <c r="C190" s="86"/>
      <c r="D190" s="54">
        <f t="shared" si="1"/>
        <v>0</v>
      </c>
      <c r="E190" s="55">
        <f t="shared" si="2"/>
        <v>0</v>
      </c>
      <c r="F190" s="56"/>
      <c r="G190" s="57">
        <f t="shared" si="3"/>
        <v>0</v>
      </c>
      <c r="H190" s="58"/>
      <c r="I190" s="58"/>
      <c r="J190" s="58"/>
      <c r="K190" s="58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  <c r="AC190" s="58"/>
      <c r="AD190" s="58"/>
      <c r="AE190" s="58"/>
      <c r="AF190" s="58"/>
    </row>
    <row r="191">
      <c r="A191" s="87"/>
      <c r="B191" s="96"/>
      <c r="C191" s="86"/>
      <c r="D191" s="54">
        <f t="shared" si="1"/>
        <v>0</v>
      </c>
      <c r="E191" s="55">
        <f t="shared" si="2"/>
        <v>0</v>
      </c>
      <c r="F191" s="56"/>
      <c r="G191" s="57">
        <f t="shared" si="3"/>
        <v>0</v>
      </c>
      <c r="H191" s="58"/>
      <c r="I191" s="58"/>
      <c r="J191" s="58"/>
      <c r="K191" s="58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  <c r="AC191" s="58"/>
      <c r="AD191" s="58"/>
      <c r="AE191" s="58"/>
      <c r="AF191" s="58"/>
    </row>
    <row r="192">
      <c r="A192" s="87"/>
      <c r="B192" s="96"/>
      <c r="C192" s="86"/>
      <c r="D192" s="54">
        <f t="shared" si="1"/>
        <v>0</v>
      </c>
      <c r="E192" s="55">
        <f t="shared" si="2"/>
        <v>0</v>
      </c>
      <c r="F192" s="56"/>
      <c r="G192" s="57">
        <f t="shared" si="3"/>
        <v>0</v>
      </c>
      <c r="H192" s="58"/>
      <c r="I192" s="58"/>
      <c r="J192" s="58"/>
      <c r="K192" s="58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  <c r="AC192" s="58"/>
      <c r="AD192" s="58"/>
      <c r="AE192" s="58"/>
      <c r="AF192" s="58"/>
    </row>
    <row r="193">
      <c r="A193" s="87"/>
      <c r="B193" s="96"/>
      <c r="C193" s="86"/>
      <c r="D193" s="54">
        <f t="shared" si="1"/>
        <v>0</v>
      </c>
      <c r="E193" s="55">
        <f t="shared" si="2"/>
        <v>0</v>
      </c>
      <c r="F193" s="56"/>
      <c r="G193" s="57">
        <f t="shared" si="3"/>
        <v>0</v>
      </c>
      <c r="H193" s="58"/>
      <c r="I193" s="58"/>
      <c r="J193" s="58"/>
      <c r="K193" s="58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  <c r="AC193" s="58"/>
      <c r="AD193" s="58"/>
      <c r="AE193" s="58"/>
      <c r="AF193" s="58"/>
    </row>
    <row r="194">
      <c r="A194" s="87"/>
      <c r="B194" s="96"/>
      <c r="C194" s="86"/>
      <c r="D194" s="54">
        <f t="shared" si="1"/>
        <v>0</v>
      </c>
      <c r="E194" s="55">
        <f t="shared" si="2"/>
        <v>0</v>
      </c>
      <c r="F194" s="56"/>
      <c r="G194" s="57">
        <f t="shared" si="3"/>
        <v>0</v>
      </c>
      <c r="H194" s="58"/>
      <c r="I194" s="58"/>
      <c r="J194" s="58"/>
      <c r="K194" s="58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  <c r="AC194" s="58"/>
      <c r="AD194" s="58"/>
      <c r="AE194" s="58"/>
      <c r="AF194" s="58"/>
    </row>
    <row r="195">
      <c r="A195" s="87"/>
      <c r="B195" s="96"/>
      <c r="C195" s="86"/>
      <c r="D195" s="54">
        <f t="shared" si="1"/>
        <v>0</v>
      </c>
      <c r="E195" s="55">
        <f t="shared" si="2"/>
        <v>0</v>
      </c>
      <c r="F195" s="56"/>
      <c r="G195" s="57">
        <f t="shared" si="3"/>
        <v>0</v>
      </c>
      <c r="H195" s="58"/>
      <c r="I195" s="58"/>
      <c r="J195" s="58"/>
      <c r="K195" s="58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  <c r="AC195" s="58"/>
      <c r="AD195" s="58"/>
      <c r="AE195" s="58"/>
      <c r="AF195" s="58"/>
    </row>
    <row r="196">
      <c r="A196" s="87"/>
      <c r="B196" s="96"/>
      <c r="C196" s="86"/>
      <c r="D196" s="54">
        <f t="shared" si="1"/>
        <v>0</v>
      </c>
      <c r="E196" s="55">
        <f t="shared" si="2"/>
        <v>0</v>
      </c>
      <c r="F196" s="56"/>
      <c r="G196" s="57">
        <f t="shared" si="3"/>
        <v>0</v>
      </c>
      <c r="H196" s="58"/>
      <c r="I196" s="58"/>
      <c r="J196" s="58"/>
      <c r="K196" s="58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  <c r="AC196" s="58"/>
      <c r="AD196" s="58"/>
      <c r="AE196" s="58"/>
      <c r="AF196" s="58"/>
    </row>
    <row r="197">
      <c r="A197" s="87"/>
      <c r="B197" s="96"/>
      <c r="C197" s="86"/>
      <c r="D197" s="54">
        <f t="shared" si="1"/>
        <v>0</v>
      </c>
      <c r="E197" s="55">
        <f t="shared" si="2"/>
        <v>0</v>
      </c>
      <c r="F197" s="56"/>
      <c r="G197" s="57">
        <f t="shared" si="3"/>
        <v>0</v>
      </c>
      <c r="H197" s="58"/>
      <c r="I197" s="58"/>
      <c r="J197" s="58"/>
      <c r="K197" s="58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  <c r="AC197" s="58"/>
      <c r="AD197" s="58"/>
      <c r="AE197" s="58"/>
      <c r="AF197" s="58"/>
    </row>
    <row r="198">
      <c r="A198" s="87"/>
      <c r="B198" s="96"/>
      <c r="C198" s="86"/>
      <c r="D198" s="54">
        <f t="shared" si="1"/>
        <v>0</v>
      </c>
      <c r="E198" s="55">
        <f t="shared" si="2"/>
        <v>0</v>
      </c>
      <c r="F198" s="56"/>
      <c r="G198" s="57">
        <f t="shared" si="3"/>
        <v>0</v>
      </c>
      <c r="H198" s="58"/>
      <c r="I198" s="58"/>
      <c r="J198" s="58"/>
      <c r="K198" s="58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  <c r="AC198" s="58"/>
      <c r="AD198" s="58"/>
      <c r="AE198" s="58"/>
      <c r="AF198" s="58"/>
    </row>
    <row r="199">
      <c r="A199" s="87"/>
      <c r="B199" s="96"/>
      <c r="C199" s="86"/>
      <c r="D199" s="54">
        <f t="shared" si="1"/>
        <v>0</v>
      </c>
      <c r="E199" s="55">
        <f t="shared" si="2"/>
        <v>0</v>
      </c>
      <c r="F199" s="56"/>
      <c r="G199" s="57">
        <f t="shared" si="3"/>
        <v>0</v>
      </c>
      <c r="H199" s="58"/>
      <c r="I199" s="58"/>
      <c r="J199" s="58"/>
      <c r="K199" s="58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</row>
    <row r="200">
      <c r="A200" s="87"/>
      <c r="B200" s="96"/>
      <c r="C200" s="86"/>
      <c r="D200" s="54">
        <f t="shared" si="1"/>
        <v>0</v>
      </c>
      <c r="E200" s="55">
        <f t="shared" si="2"/>
        <v>0</v>
      </c>
      <c r="F200" s="56"/>
      <c r="G200" s="57">
        <f t="shared" si="3"/>
        <v>0</v>
      </c>
      <c r="H200" s="58"/>
      <c r="I200" s="58"/>
      <c r="J200" s="58"/>
      <c r="K200" s="58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  <c r="AC200" s="58"/>
      <c r="AD200" s="58"/>
      <c r="AE200" s="58"/>
      <c r="AF200" s="58"/>
    </row>
    <row r="201">
      <c r="A201" s="87"/>
      <c r="B201" s="96"/>
      <c r="C201" s="86"/>
      <c r="D201" s="54">
        <f t="shared" si="1"/>
        <v>0</v>
      </c>
      <c r="E201" s="55">
        <f t="shared" si="2"/>
        <v>0</v>
      </c>
      <c r="F201" s="56"/>
      <c r="G201" s="57">
        <f t="shared" si="3"/>
        <v>0</v>
      </c>
      <c r="H201" s="58"/>
      <c r="I201" s="58"/>
      <c r="J201" s="58"/>
      <c r="K201" s="58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  <c r="AC201" s="58"/>
      <c r="AD201" s="58"/>
      <c r="AE201" s="58"/>
      <c r="AF201" s="58"/>
    </row>
    <row r="202">
      <c r="A202" s="87"/>
      <c r="B202" s="96"/>
      <c r="C202" s="86"/>
      <c r="D202" s="54">
        <f t="shared" si="1"/>
        <v>0</v>
      </c>
      <c r="E202" s="55">
        <f t="shared" si="2"/>
        <v>0</v>
      </c>
      <c r="F202" s="56"/>
      <c r="G202" s="57">
        <f t="shared" si="3"/>
        <v>0</v>
      </c>
      <c r="H202" s="58"/>
      <c r="I202" s="58"/>
      <c r="J202" s="58"/>
      <c r="K202" s="58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</row>
    <row r="203">
      <c r="A203" s="87"/>
      <c r="B203" s="96"/>
      <c r="C203" s="86"/>
      <c r="D203" s="54">
        <f t="shared" si="1"/>
        <v>0</v>
      </c>
      <c r="E203" s="55">
        <f t="shared" si="2"/>
        <v>0</v>
      </c>
      <c r="F203" s="56"/>
      <c r="G203" s="57">
        <f t="shared" si="3"/>
        <v>0</v>
      </c>
      <c r="H203" s="58"/>
      <c r="I203" s="58"/>
      <c r="J203" s="58"/>
      <c r="K203" s="58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  <c r="AC203" s="58"/>
      <c r="AD203" s="58"/>
      <c r="AE203" s="58"/>
      <c r="AF203" s="58"/>
    </row>
    <row r="204">
      <c r="A204" s="87"/>
      <c r="B204" s="96"/>
      <c r="C204" s="86"/>
      <c r="D204" s="54">
        <f t="shared" si="1"/>
        <v>0</v>
      </c>
      <c r="E204" s="55">
        <f t="shared" si="2"/>
        <v>0</v>
      </c>
      <c r="F204" s="56"/>
      <c r="G204" s="57">
        <f t="shared" si="3"/>
        <v>0</v>
      </c>
      <c r="H204" s="58"/>
      <c r="I204" s="58"/>
      <c r="J204" s="58"/>
      <c r="K204" s="58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  <c r="AC204" s="58"/>
      <c r="AD204" s="58"/>
      <c r="AE204" s="58"/>
      <c r="AF204" s="58"/>
    </row>
    <row r="205">
      <c r="A205" s="87"/>
      <c r="B205" s="96"/>
      <c r="C205" s="86"/>
      <c r="D205" s="54">
        <f t="shared" si="1"/>
        <v>0</v>
      </c>
      <c r="E205" s="55">
        <f t="shared" si="2"/>
        <v>0</v>
      </c>
      <c r="F205" s="56"/>
      <c r="G205" s="57">
        <f t="shared" si="3"/>
        <v>0</v>
      </c>
      <c r="H205" s="58"/>
      <c r="I205" s="58"/>
      <c r="J205" s="58"/>
      <c r="K205" s="58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  <c r="AC205" s="58"/>
      <c r="AD205" s="58"/>
      <c r="AE205" s="58"/>
      <c r="AF205" s="58"/>
    </row>
    <row r="206">
      <c r="A206" s="87"/>
      <c r="B206" s="96"/>
      <c r="C206" s="86"/>
      <c r="D206" s="54">
        <f t="shared" si="1"/>
        <v>0</v>
      </c>
      <c r="E206" s="55">
        <f t="shared" si="2"/>
        <v>0</v>
      </c>
      <c r="F206" s="56"/>
      <c r="G206" s="57">
        <f t="shared" si="3"/>
        <v>0</v>
      </c>
      <c r="H206" s="58"/>
      <c r="I206" s="58"/>
      <c r="J206" s="58"/>
      <c r="K206" s="58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  <c r="AC206" s="58"/>
      <c r="AD206" s="58"/>
      <c r="AE206" s="58"/>
      <c r="AF206" s="58"/>
    </row>
    <row r="207">
      <c r="A207" s="87"/>
      <c r="B207" s="96"/>
      <c r="C207" s="86"/>
      <c r="D207" s="54">
        <f t="shared" si="1"/>
        <v>0</v>
      </c>
      <c r="E207" s="55">
        <f t="shared" si="2"/>
        <v>0</v>
      </c>
      <c r="F207" s="56"/>
      <c r="G207" s="57">
        <f t="shared" si="3"/>
        <v>0</v>
      </c>
      <c r="H207" s="58"/>
      <c r="I207" s="58"/>
      <c r="J207" s="58"/>
      <c r="K207" s="58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  <c r="AC207" s="58"/>
      <c r="AD207" s="58"/>
      <c r="AE207" s="58"/>
      <c r="AF207" s="58"/>
    </row>
    <row r="208">
      <c r="A208" s="87"/>
      <c r="B208" s="96"/>
      <c r="C208" s="86"/>
      <c r="D208" s="54">
        <f t="shared" si="1"/>
        <v>0</v>
      </c>
      <c r="E208" s="55">
        <f t="shared" si="2"/>
        <v>0</v>
      </c>
      <c r="F208" s="56"/>
      <c r="G208" s="57">
        <f t="shared" si="3"/>
        <v>0</v>
      </c>
      <c r="H208" s="58"/>
      <c r="I208" s="58"/>
      <c r="J208" s="58"/>
      <c r="K208" s="58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  <c r="AC208" s="58"/>
      <c r="AD208" s="58"/>
      <c r="AE208" s="58"/>
      <c r="AF208" s="58"/>
    </row>
    <row r="209">
      <c r="A209" s="87"/>
      <c r="B209" s="96"/>
      <c r="C209" s="86"/>
      <c r="D209" s="54">
        <f t="shared" si="1"/>
        <v>0</v>
      </c>
      <c r="E209" s="55">
        <f t="shared" si="2"/>
        <v>0</v>
      </c>
      <c r="F209" s="56"/>
      <c r="G209" s="57">
        <f t="shared" si="3"/>
        <v>0</v>
      </c>
      <c r="H209" s="58"/>
      <c r="I209" s="58"/>
      <c r="J209" s="58"/>
      <c r="K209" s="58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  <c r="AC209" s="58"/>
      <c r="AD209" s="58"/>
      <c r="AE209" s="58"/>
      <c r="AF209" s="58"/>
    </row>
    <row r="210">
      <c r="A210" s="87"/>
      <c r="B210" s="96"/>
      <c r="C210" s="86"/>
      <c r="D210" s="54">
        <f t="shared" si="1"/>
        <v>0</v>
      </c>
      <c r="E210" s="55">
        <f t="shared" si="2"/>
        <v>0</v>
      </c>
      <c r="F210" s="56"/>
      <c r="G210" s="57">
        <f t="shared" si="3"/>
        <v>0</v>
      </c>
      <c r="H210" s="58"/>
      <c r="I210" s="58"/>
      <c r="J210" s="58"/>
      <c r="K210" s="58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  <c r="AC210" s="58"/>
      <c r="AD210" s="58"/>
      <c r="AE210" s="58"/>
      <c r="AF210" s="58"/>
    </row>
    <row r="211">
      <c r="A211" s="87"/>
      <c r="B211" s="96"/>
      <c r="C211" s="86"/>
      <c r="D211" s="54">
        <f t="shared" si="1"/>
        <v>0</v>
      </c>
      <c r="E211" s="55">
        <f t="shared" si="2"/>
        <v>0</v>
      </c>
      <c r="F211" s="56"/>
      <c r="G211" s="57">
        <f t="shared" si="3"/>
        <v>0</v>
      </c>
      <c r="H211" s="58"/>
      <c r="I211" s="58"/>
      <c r="J211" s="58"/>
      <c r="K211" s="58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  <c r="AC211" s="58"/>
      <c r="AD211" s="58"/>
      <c r="AE211" s="58"/>
      <c r="AF211" s="58"/>
    </row>
    <row r="212">
      <c r="A212" s="87"/>
      <c r="B212" s="96"/>
      <c r="C212" s="86"/>
      <c r="D212" s="54">
        <f t="shared" si="1"/>
        <v>0</v>
      </c>
      <c r="E212" s="55">
        <f t="shared" si="2"/>
        <v>0</v>
      </c>
      <c r="F212" s="56"/>
      <c r="G212" s="57">
        <f t="shared" si="3"/>
        <v>0</v>
      </c>
      <c r="H212" s="58"/>
      <c r="I212" s="58"/>
      <c r="J212" s="58"/>
      <c r="K212" s="58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  <c r="AC212" s="58"/>
      <c r="AD212" s="58"/>
      <c r="AE212" s="58"/>
      <c r="AF212" s="58"/>
    </row>
    <row r="213">
      <c r="A213" s="87"/>
      <c r="B213" s="96"/>
      <c r="C213" s="86"/>
      <c r="D213" s="54">
        <f t="shared" si="1"/>
        <v>0</v>
      </c>
      <c r="E213" s="55">
        <f t="shared" si="2"/>
        <v>0</v>
      </c>
      <c r="F213" s="56"/>
      <c r="G213" s="57">
        <f t="shared" si="3"/>
        <v>0</v>
      </c>
      <c r="H213" s="58"/>
      <c r="I213" s="58"/>
      <c r="J213" s="58"/>
      <c r="K213" s="58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  <c r="AC213" s="58"/>
      <c r="AD213" s="58"/>
      <c r="AE213" s="58"/>
      <c r="AF213" s="58"/>
    </row>
    <row r="214">
      <c r="A214" s="87"/>
      <c r="B214" s="96"/>
      <c r="C214" s="86"/>
      <c r="D214" s="54">
        <f t="shared" si="1"/>
        <v>0</v>
      </c>
      <c r="E214" s="55">
        <f t="shared" si="2"/>
        <v>0</v>
      </c>
      <c r="F214" s="56"/>
      <c r="G214" s="57">
        <f t="shared" si="3"/>
        <v>0</v>
      </c>
      <c r="H214" s="58"/>
      <c r="I214" s="58"/>
      <c r="J214" s="58"/>
      <c r="K214" s="58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  <c r="AC214" s="58"/>
      <c r="AD214" s="58"/>
      <c r="AE214" s="58"/>
      <c r="AF214" s="58"/>
    </row>
    <row r="215">
      <c r="A215" s="87"/>
      <c r="B215" s="96"/>
      <c r="C215" s="86"/>
      <c r="D215" s="54">
        <f t="shared" si="1"/>
        <v>0</v>
      </c>
      <c r="E215" s="55">
        <f t="shared" si="2"/>
        <v>0</v>
      </c>
      <c r="F215" s="56"/>
      <c r="G215" s="57">
        <f t="shared" si="3"/>
        <v>0</v>
      </c>
      <c r="H215" s="58"/>
      <c r="I215" s="58"/>
      <c r="J215" s="58"/>
      <c r="K215" s="58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  <c r="AC215" s="58"/>
      <c r="AD215" s="58"/>
      <c r="AE215" s="58"/>
      <c r="AF215" s="58"/>
    </row>
    <row r="216">
      <c r="A216" s="87"/>
      <c r="B216" s="96"/>
      <c r="C216" s="86"/>
      <c r="D216" s="54">
        <f t="shared" si="1"/>
        <v>0</v>
      </c>
      <c r="E216" s="55">
        <f t="shared" si="2"/>
        <v>0</v>
      </c>
      <c r="F216" s="56"/>
      <c r="G216" s="57">
        <f t="shared" si="3"/>
        <v>0</v>
      </c>
      <c r="H216" s="58"/>
      <c r="I216" s="58"/>
      <c r="J216" s="58"/>
      <c r="K216" s="58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  <c r="AD216" s="58"/>
      <c r="AE216" s="58"/>
      <c r="AF216" s="58"/>
    </row>
    <row r="217">
      <c r="A217" s="87"/>
      <c r="B217" s="96"/>
      <c r="C217" s="86"/>
      <c r="D217" s="54">
        <f t="shared" si="1"/>
        <v>0</v>
      </c>
      <c r="E217" s="55">
        <f t="shared" si="2"/>
        <v>0</v>
      </c>
      <c r="F217" s="56"/>
      <c r="G217" s="57">
        <f t="shared" si="3"/>
        <v>0</v>
      </c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  <c r="AD217" s="58"/>
      <c r="AE217" s="58"/>
      <c r="AF217" s="58"/>
    </row>
    <row r="218">
      <c r="A218" s="87"/>
      <c r="B218" s="96"/>
      <c r="C218" s="86"/>
      <c r="D218" s="54">
        <f t="shared" si="1"/>
        <v>0</v>
      </c>
      <c r="E218" s="55">
        <f t="shared" si="2"/>
        <v>0</v>
      </c>
      <c r="F218" s="56"/>
      <c r="G218" s="57">
        <f t="shared" si="3"/>
        <v>0</v>
      </c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  <c r="AD218" s="58"/>
      <c r="AE218" s="58"/>
      <c r="AF218" s="58"/>
    </row>
    <row r="219">
      <c r="A219" s="87"/>
      <c r="B219" s="96"/>
      <c r="C219" s="86"/>
      <c r="D219" s="54">
        <f t="shared" si="1"/>
        <v>0</v>
      </c>
      <c r="E219" s="55">
        <f t="shared" si="2"/>
        <v>0</v>
      </c>
      <c r="F219" s="56"/>
      <c r="G219" s="57">
        <f t="shared" si="3"/>
        <v>0</v>
      </c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  <c r="AD219" s="58"/>
      <c r="AE219" s="58"/>
      <c r="AF219" s="58"/>
    </row>
    <row r="220">
      <c r="A220" s="87"/>
      <c r="B220" s="96"/>
      <c r="C220" s="86"/>
      <c r="D220" s="54">
        <f t="shared" si="1"/>
        <v>0</v>
      </c>
      <c r="E220" s="55">
        <f t="shared" si="2"/>
        <v>0</v>
      </c>
      <c r="F220" s="56"/>
      <c r="G220" s="57">
        <f t="shared" si="3"/>
        <v>0</v>
      </c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  <c r="AD220" s="58"/>
      <c r="AE220" s="58"/>
      <c r="AF220" s="58"/>
    </row>
    <row r="221">
      <c r="A221" s="87"/>
      <c r="B221" s="96"/>
      <c r="C221" s="86"/>
      <c r="D221" s="54">
        <f t="shared" si="1"/>
        <v>0</v>
      </c>
      <c r="E221" s="55">
        <f t="shared" si="2"/>
        <v>0</v>
      </c>
      <c r="F221" s="56"/>
      <c r="G221" s="57">
        <f t="shared" si="3"/>
        <v>0</v>
      </c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  <c r="AE221" s="58"/>
      <c r="AF221" s="58"/>
    </row>
    <row r="222">
      <c r="A222" s="87"/>
      <c r="B222" s="96"/>
      <c r="C222" s="86"/>
      <c r="D222" s="54">
        <f t="shared" si="1"/>
        <v>0</v>
      </c>
      <c r="E222" s="55">
        <f t="shared" si="2"/>
        <v>0</v>
      </c>
      <c r="F222" s="56"/>
      <c r="G222" s="57">
        <f t="shared" si="3"/>
        <v>0</v>
      </c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  <c r="AE222" s="58"/>
      <c r="AF222" s="58"/>
    </row>
    <row r="223">
      <c r="A223" s="87"/>
      <c r="B223" s="96"/>
      <c r="C223" s="86"/>
      <c r="D223" s="54">
        <f t="shared" si="1"/>
        <v>0</v>
      </c>
      <c r="E223" s="55">
        <f t="shared" si="2"/>
        <v>0</v>
      </c>
      <c r="F223" s="56"/>
      <c r="G223" s="57">
        <f t="shared" si="3"/>
        <v>0</v>
      </c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  <c r="AE223" s="58"/>
      <c r="AF223" s="58"/>
    </row>
    <row r="224">
      <c r="A224" s="87"/>
      <c r="B224" s="96"/>
      <c r="C224" s="86"/>
      <c r="D224" s="54">
        <f t="shared" si="1"/>
        <v>0</v>
      </c>
      <c r="E224" s="55">
        <f t="shared" si="2"/>
        <v>0</v>
      </c>
      <c r="F224" s="56"/>
      <c r="G224" s="57">
        <f t="shared" si="3"/>
        <v>0</v>
      </c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  <c r="AE224" s="58"/>
      <c r="AF224" s="58"/>
    </row>
    <row r="225">
      <c r="A225" s="87"/>
      <c r="B225" s="96"/>
      <c r="C225" s="86"/>
      <c r="D225" s="54">
        <f t="shared" si="1"/>
        <v>0</v>
      </c>
      <c r="E225" s="55">
        <f t="shared" si="2"/>
        <v>0</v>
      </c>
      <c r="F225" s="56"/>
      <c r="G225" s="57">
        <f t="shared" si="3"/>
        <v>0</v>
      </c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  <c r="AE225" s="58"/>
      <c r="AF225" s="58"/>
    </row>
    <row r="226">
      <c r="A226" s="87"/>
      <c r="B226" s="96"/>
      <c r="C226" s="86"/>
      <c r="D226" s="54">
        <f t="shared" si="1"/>
        <v>0</v>
      </c>
      <c r="E226" s="55">
        <f t="shared" si="2"/>
        <v>0</v>
      </c>
      <c r="F226" s="56"/>
      <c r="G226" s="57">
        <f t="shared" si="3"/>
        <v>0</v>
      </c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  <c r="AE226" s="58"/>
      <c r="AF226" s="58"/>
    </row>
    <row r="227">
      <c r="A227" s="87"/>
      <c r="B227" s="96"/>
      <c r="C227" s="86"/>
      <c r="D227" s="54">
        <f t="shared" si="1"/>
        <v>0</v>
      </c>
      <c r="E227" s="55">
        <f t="shared" si="2"/>
        <v>0</v>
      </c>
      <c r="F227" s="56"/>
      <c r="G227" s="57">
        <f t="shared" si="3"/>
        <v>0</v>
      </c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  <c r="AE227" s="58"/>
      <c r="AF227" s="58"/>
    </row>
    <row r="228">
      <c r="A228" s="87"/>
      <c r="B228" s="96"/>
      <c r="C228" s="86"/>
      <c r="D228" s="54">
        <f t="shared" si="1"/>
        <v>0</v>
      </c>
      <c r="E228" s="55">
        <f t="shared" si="2"/>
        <v>0</v>
      </c>
      <c r="F228" s="56"/>
      <c r="G228" s="57">
        <f t="shared" si="3"/>
        <v>0</v>
      </c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  <c r="AE228" s="58"/>
      <c r="AF228" s="58"/>
    </row>
    <row r="229">
      <c r="A229" s="87"/>
      <c r="B229" s="96"/>
      <c r="C229" s="86"/>
      <c r="D229" s="54">
        <f t="shared" si="1"/>
        <v>0</v>
      </c>
      <c r="E229" s="55">
        <f t="shared" si="2"/>
        <v>0</v>
      </c>
      <c r="F229" s="56"/>
      <c r="G229" s="57">
        <f t="shared" si="3"/>
        <v>0</v>
      </c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  <c r="AE229" s="58"/>
      <c r="AF229" s="58"/>
    </row>
    <row r="230">
      <c r="A230" s="87"/>
      <c r="B230" s="96"/>
      <c r="C230" s="86"/>
      <c r="D230" s="54">
        <f t="shared" si="1"/>
        <v>0</v>
      </c>
      <c r="E230" s="55">
        <f t="shared" si="2"/>
        <v>0</v>
      </c>
      <c r="F230" s="56"/>
      <c r="G230" s="57">
        <f t="shared" si="3"/>
        <v>0</v>
      </c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  <c r="AE230" s="58"/>
      <c r="AF230" s="58"/>
    </row>
    <row r="231">
      <c r="A231" s="87"/>
      <c r="B231" s="96"/>
      <c r="C231" s="86"/>
      <c r="D231" s="54">
        <f t="shared" si="1"/>
        <v>0</v>
      </c>
      <c r="E231" s="55">
        <f t="shared" si="2"/>
        <v>0</v>
      </c>
      <c r="F231" s="56"/>
      <c r="G231" s="57">
        <f t="shared" si="3"/>
        <v>0</v>
      </c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  <c r="AE231" s="58"/>
      <c r="AF231" s="58"/>
    </row>
    <row r="232">
      <c r="A232" s="87"/>
      <c r="B232" s="96"/>
      <c r="C232" s="86"/>
      <c r="D232" s="54">
        <f t="shared" si="1"/>
        <v>0</v>
      </c>
      <c r="E232" s="55">
        <f t="shared" si="2"/>
        <v>0</v>
      </c>
      <c r="F232" s="56"/>
      <c r="G232" s="57">
        <f t="shared" si="3"/>
        <v>0</v>
      </c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  <c r="AE232" s="58"/>
      <c r="AF232" s="58"/>
    </row>
    <row r="233">
      <c r="A233" s="87"/>
      <c r="B233" s="96"/>
      <c r="C233" s="86"/>
      <c r="D233" s="54">
        <f t="shared" si="1"/>
        <v>0</v>
      </c>
      <c r="E233" s="55">
        <f t="shared" si="2"/>
        <v>0</v>
      </c>
      <c r="F233" s="56"/>
      <c r="G233" s="57">
        <f t="shared" si="3"/>
        <v>0</v>
      </c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  <c r="AE233" s="58"/>
      <c r="AF233" s="58"/>
    </row>
    <row r="234">
      <c r="A234" s="87"/>
      <c r="B234" s="96"/>
      <c r="C234" s="86"/>
      <c r="D234" s="54">
        <f t="shared" si="1"/>
        <v>0</v>
      </c>
      <c r="E234" s="55">
        <f t="shared" si="2"/>
        <v>0</v>
      </c>
      <c r="F234" s="56"/>
      <c r="G234" s="57">
        <f t="shared" si="3"/>
        <v>0</v>
      </c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  <c r="AE234" s="58"/>
      <c r="AF234" s="58"/>
    </row>
    <row r="235">
      <c r="A235" s="87"/>
      <c r="B235" s="96"/>
      <c r="C235" s="86"/>
      <c r="D235" s="54">
        <f t="shared" si="1"/>
        <v>0</v>
      </c>
      <c r="E235" s="55">
        <f t="shared" si="2"/>
        <v>0</v>
      </c>
      <c r="F235" s="56"/>
      <c r="G235" s="57">
        <f t="shared" si="3"/>
        <v>0</v>
      </c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  <c r="AE235" s="58"/>
      <c r="AF235" s="58"/>
    </row>
    <row r="236">
      <c r="A236" s="87"/>
      <c r="B236" s="96"/>
      <c r="C236" s="86"/>
      <c r="D236" s="54">
        <f t="shared" si="1"/>
        <v>0</v>
      </c>
      <c r="E236" s="55">
        <f t="shared" si="2"/>
        <v>0</v>
      </c>
      <c r="F236" s="56"/>
      <c r="G236" s="57">
        <f t="shared" si="3"/>
        <v>0</v>
      </c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  <c r="AE236" s="58"/>
      <c r="AF236" s="58"/>
    </row>
    <row r="237">
      <c r="A237" s="87"/>
      <c r="B237" s="96"/>
      <c r="C237" s="86"/>
      <c r="D237" s="54">
        <f t="shared" si="1"/>
        <v>0</v>
      </c>
      <c r="E237" s="55">
        <f t="shared" si="2"/>
        <v>0</v>
      </c>
      <c r="F237" s="56"/>
      <c r="G237" s="57">
        <f t="shared" si="3"/>
        <v>0</v>
      </c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  <c r="AE237" s="58"/>
      <c r="AF237" s="58"/>
    </row>
    <row r="238">
      <c r="A238" s="87"/>
      <c r="B238" s="96"/>
      <c r="C238" s="86"/>
      <c r="D238" s="54">
        <f t="shared" si="1"/>
        <v>0</v>
      </c>
      <c r="E238" s="55">
        <f t="shared" si="2"/>
        <v>0</v>
      </c>
      <c r="F238" s="56"/>
      <c r="G238" s="57">
        <f t="shared" si="3"/>
        <v>0</v>
      </c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  <c r="AE238" s="58"/>
      <c r="AF238" s="58"/>
    </row>
    <row r="239">
      <c r="A239" s="87"/>
      <c r="B239" s="96"/>
      <c r="C239" s="86"/>
      <c r="D239" s="54">
        <f t="shared" si="1"/>
        <v>0</v>
      </c>
      <c r="E239" s="55">
        <f t="shared" si="2"/>
        <v>0</v>
      </c>
      <c r="F239" s="56"/>
      <c r="G239" s="57">
        <f t="shared" si="3"/>
        <v>0</v>
      </c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  <c r="AE239" s="58"/>
      <c r="AF239" s="58"/>
    </row>
    <row r="240">
      <c r="A240" s="87"/>
      <c r="B240" s="96"/>
      <c r="C240" s="86"/>
      <c r="D240" s="54">
        <f t="shared" si="1"/>
        <v>0</v>
      </c>
      <c r="E240" s="55">
        <f t="shared" si="2"/>
        <v>0</v>
      </c>
      <c r="F240" s="56"/>
      <c r="G240" s="57">
        <f t="shared" si="3"/>
        <v>0</v>
      </c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  <c r="AE240" s="58"/>
      <c r="AF240" s="58"/>
    </row>
    <row r="241">
      <c r="A241" s="87"/>
      <c r="B241" s="96"/>
      <c r="C241" s="86"/>
      <c r="D241" s="54">
        <f t="shared" si="1"/>
        <v>0</v>
      </c>
      <c r="E241" s="55">
        <f t="shared" si="2"/>
        <v>0</v>
      </c>
      <c r="F241" s="56"/>
      <c r="G241" s="57">
        <f t="shared" si="3"/>
        <v>0</v>
      </c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  <c r="AE241" s="58"/>
      <c r="AF241" s="58"/>
    </row>
    <row r="242">
      <c r="A242" s="87"/>
      <c r="B242" s="96"/>
      <c r="C242" s="86"/>
      <c r="D242" s="54">
        <f t="shared" si="1"/>
        <v>0</v>
      </c>
      <c r="E242" s="55">
        <f t="shared" si="2"/>
        <v>0</v>
      </c>
      <c r="F242" s="56"/>
      <c r="G242" s="57">
        <f t="shared" si="3"/>
        <v>0</v>
      </c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  <c r="AE242" s="58"/>
      <c r="AF242" s="58"/>
    </row>
    <row r="243">
      <c r="A243" s="87"/>
      <c r="B243" s="96"/>
      <c r="C243" s="86"/>
      <c r="D243" s="54">
        <f t="shared" si="1"/>
        <v>0</v>
      </c>
      <c r="E243" s="55">
        <f t="shared" si="2"/>
        <v>0</v>
      </c>
      <c r="F243" s="56"/>
      <c r="G243" s="57">
        <f t="shared" si="3"/>
        <v>0</v>
      </c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  <c r="AE243" s="58"/>
      <c r="AF243" s="58"/>
    </row>
    <row r="244">
      <c r="A244" s="87"/>
      <c r="B244" s="96"/>
      <c r="C244" s="86"/>
      <c r="D244" s="54">
        <f t="shared" si="1"/>
        <v>0</v>
      </c>
      <c r="E244" s="55">
        <f t="shared" si="2"/>
        <v>0</v>
      </c>
      <c r="F244" s="56"/>
      <c r="G244" s="57">
        <f t="shared" si="3"/>
        <v>0</v>
      </c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  <c r="AE244" s="58"/>
      <c r="AF244" s="58"/>
    </row>
    <row r="245">
      <c r="A245" s="87"/>
      <c r="B245" s="96"/>
      <c r="C245" s="86"/>
      <c r="D245" s="54">
        <f t="shared" si="1"/>
        <v>0</v>
      </c>
      <c r="E245" s="55">
        <f t="shared" si="2"/>
        <v>0</v>
      </c>
      <c r="F245" s="56"/>
      <c r="G245" s="57">
        <f t="shared" si="3"/>
        <v>0</v>
      </c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  <c r="AE245" s="58"/>
      <c r="AF245" s="58"/>
    </row>
    <row r="246">
      <c r="A246" s="87"/>
      <c r="B246" s="96"/>
      <c r="C246" s="86"/>
      <c r="D246" s="54">
        <f t="shared" si="1"/>
        <v>0</v>
      </c>
      <c r="E246" s="55">
        <f t="shared" si="2"/>
        <v>0</v>
      </c>
      <c r="F246" s="56"/>
      <c r="G246" s="57">
        <f t="shared" si="3"/>
        <v>0</v>
      </c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  <c r="AE246" s="58"/>
      <c r="AF246" s="58"/>
    </row>
    <row r="247">
      <c r="A247" s="87"/>
      <c r="B247" s="96"/>
      <c r="C247" s="86"/>
      <c r="D247" s="54">
        <f t="shared" si="1"/>
        <v>0</v>
      </c>
      <c r="E247" s="55">
        <f t="shared" si="2"/>
        <v>0</v>
      </c>
      <c r="F247" s="56"/>
      <c r="G247" s="57">
        <f t="shared" si="3"/>
        <v>0</v>
      </c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  <c r="AE247" s="58"/>
      <c r="AF247" s="58"/>
    </row>
    <row r="248">
      <c r="A248" s="87"/>
      <c r="B248" s="96"/>
      <c r="C248" s="86"/>
      <c r="D248" s="54">
        <f t="shared" si="1"/>
        <v>0</v>
      </c>
      <c r="E248" s="55">
        <f t="shared" si="2"/>
        <v>0</v>
      </c>
      <c r="F248" s="56"/>
      <c r="G248" s="57">
        <f t="shared" si="3"/>
        <v>0</v>
      </c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  <c r="AE248" s="58"/>
      <c r="AF248" s="58"/>
    </row>
    <row r="249">
      <c r="A249" s="87"/>
      <c r="B249" s="96"/>
      <c r="C249" s="86"/>
      <c r="D249" s="54">
        <f t="shared" si="1"/>
        <v>0</v>
      </c>
      <c r="E249" s="55">
        <f t="shared" si="2"/>
        <v>0</v>
      </c>
      <c r="F249" s="56"/>
      <c r="G249" s="57">
        <f t="shared" si="3"/>
        <v>0</v>
      </c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  <c r="AE249" s="58"/>
      <c r="AF249" s="58"/>
    </row>
    <row r="250">
      <c r="A250" s="87"/>
      <c r="B250" s="96"/>
      <c r="C250" s="86"/>
      <c r="D250" s="54">
        <f t="shared" si="1"/>
        <v>0</v>
      </c>
      <c r="E250" s="55">
        <f t="shared" si="2"/>
        <v>0</v>
      </c>
      <c r="F250" s="56"/>
      <c r="G250" s="57">
        <f t="shared" si="3"/>
        <v>0</v>
      </c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  <c r="AE250" s="58"/>
      <c r="AF250" s="58"/>
    </row>
    <row r="251">
      <c r="A251" s="87"/>
      <c r="B251" s="96"/>
      <c r="C251" s="86"/>
      <c r="D251" s="54">
        <f t="shared" si="1"/>
        <v>0</v>
      </c>
      <c r="E251" s="55">
        <f t="shared" si="2"/>
        <v>0</v>
      </c>
      <c r="F251" s="56"/>
      <c r="G251" s="57">
        <f t="shared" si="3"/>
        <v>0</v>
      </c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  <c r="AE251" s="58"/>
      <c r="AF251" s="58"/>
    </row>
    <row r="252">
      <c r="A252" s="87"/>
      <c r="B252" s="96"/>
      <c r="C252" s="86"/>
      <c r="D252" s="54">
        <f t="shared" si="1"/>
        <v>0</v>
      </c>
      <c r="E252" s="55">
        <f t="shared" si="2"/>
        <v>0</v>
      </c>
      <c r="F252" s="56"/>
      <c r="G252" s="57">
        <f t="shared" si="3"/>
        <v>0</v>
      </c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  <c r="AE252" s="58"/>
      <c r="AF252" s="58"/>
    </row>
    <row r="253">
      <c r="A253" s="87"/>
      <c r="B253" s="96"/>
      <c r="C253" s="86"/>
      <c r="D253" s="54">
        <f t="shared" si="1"/>
        <v>0</v>
      </c>
      <c r="E253" s="55">
        <f t="shared" si="2"/>
        <v>0</v>
      </c>
      <c r="F253" s="56"/>
      <c r="G253" s="57">
        <f t="shared" si="3"/>
        <v>0</v>
      </c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  <c r="AE253" s="58"/>
      <c r="AF253" s="58"/>
    </row>
    <row r="254">
      <c r="A254" s="87"/>
      <c r="B254" s="96"/>
      <c r="C254" s="86"/>
      <c r="D254" s="54">
        <f t="shared" si="1"/>
        <v>0</v>
      </c>
      <c r="E254" s="55">
        <f t="shared" si="2"/>
        <v>0</v>
      </c>
      <c r="F254" s="56"/>
      <c r="G254" s="57">
        <f t="shared" si="3"/>
        <v>0</v>
      </c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  <c r="AE254" s="58"/>
      <c r="AF254" s="58"/>
    </row>
    <row r="255">
      <c r="A255" s="87"/>
      <c r="B255" s="96"/>
      <c r="C255" s="86"/>
      <c r="D255" s="54">
        <f t="shared" si="1"/>
        <v>0</v>
      </c>
      <c r="E255" s="55">
        <f t="shared" si="2"/>
        <v>0</v>
      </c>
      <c r="F255" s="56"/>
      <c r="G255" s="57">
        <f t="shared" si="3"/>
        <v>0</v>
      </c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  <c r="AE255" s="58"/>
      <c r="AF255" s="58"/>
    </row>
    <row r="256">
      <c r="A256" s="87"/>
      <c r="B256" s="96"/>
      <c r="C256" s="86"/>
      <c r="D256" s="54">
        <f t="shared" si="1"/>
        <v>0</v>
      </c>
      <c r="E256" s="55">
        <f t="shared" si="2"/>
        <v>0</v>
      </c>
      <c r="F256" s="56"/>
      <c r="G256" s="57">
        <f t="shared" si="3"/>
        <v>0</v>
      </c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  <c r="AE256" s="58"/>
      <c r="AF256" s="58"/>
    </row>
    <row r="257">
      <c r="A257" s="87"/>
      <c r="B257" s="96"/>
      <c r="C257" s="86"/>
      <c r="D257" s="54">
        <f t="shared" si="1"/>
        <v>0</v>
      </c>
      <c r="E257" s="55">
        <f t="shared" si="2"/>
        <v>0</v>
      </c>
      <c r="F257" s="56"/>
      <c r="G257" s="57">
        <f t="shared" si="3"/>
        <v>0</v>
      </c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  <c r="AE257" s="58"/>
      <c r="AF257" s="58"/>
    </row>
    <row r="258">
      <c r="A258" s="87"/>
      <c r="B258" s="96"/>
      <c r="C258" s="86"/>
      <c r="D258" s="54">
        <f t="shared" si="1"/>
        <v>0</v>
      </c>
      <c r="E258" s="55">
        <f t="shared" si="2"/>
        <v>0</v>
      </c>
      <c r="F258" s="56"/>
      <c r="G258" s="57">
        <f t="shared" si="3"/>
        <v>0</v>
      </c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  <c r="AE258" s="58"/>
      <c r="AF258" s="58"/>
    </row>
    <row r="259">
      <c r="A259" s="87"/>
      <c r="B259" s="96"/>
      <c r="C259" s="86"/>
      <c r="D259" s="54">
        <f t="shared" si="1"/>
        <v>0</v>
      </c>
      <c r="E259" s="55">
        <f t="shared" si="2"/>
        <v>0</v>
      </c>
      <c r="F259" s="56"/>
      <c r="G259" s="57">
        <f t="shared" si="3"/>
        <v>0</v>
      </c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  <c r="AE259" s="58"/>
      <c r="AF259" s="58"/>
    </row>
    <row r="260">
      <c r="A260" s="87"/>
      <c r="B260" s="96"/>
      <c r="C260" s="86"/>
      <c r="D260" s="54">
        <f t="shared" si="1"/>
        <v>0</v>
      </c>
      <c r="E260" s="55">
        <f t="shared" si="2"/>
        <v>0</v>
      </c>
      <c r="F260" s="56"/>
      <c r="G260" s="57">
        <f t="shared" si="3"/>
        <v>0</v>
      </c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  <c r="AE260" s="58"/>
      <c r="AF260" s="58"/>
    </row>
    <row r="261">
      <c r="A261" s="87"/>
      <c r="B261" s="96"/>
      <c r="C261" s="86"/>
      <c r="D261" s="54">
        <f t="shared" si="1"/>
        <v>0</v>
      </c>
      <c r="E261" s="55">
        <f t="shared" si="2"/>
        <v>0</v>
      </c>
      <c r="F261" s="56"/>
      <c r="G261" s="57">
        <f t="shared" si="3"/>
        <v>0</v>
      </c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  <c r="AE261" s="58"/>
      <c r="AF261" s="58"/>
    </row>
    <row r="262">
      <c r="A262" s="87"/>
      <c r="B262" s="96"/>
      <c r="C262" s="86"/>
      <c r="D262" s="54">
        <f t="shared" si="1"/>
        <v>0</v>
      </c>
      <c r="E262" s="55">
        <f t="shared" si="2"/>
        <v>0</v>
      </c>
      <c r="F262" s="56"/>
      <c r="G262" s="57">
        <f t="shared" si="3"/>
        <v>0</v>
      </c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  <c r="AE262" s="58"/>
      <c r="AF262" s="58"/>
    </row>
    <row r="263">
      <c r="A263" s="87"/>
      <c r="B263" s="96"/>
      <c r="C263" s="86"/>
      <c r="D263" s="54">
        <f t="shared" si="1"/>
        <v>0</v>
      </c>
      <c r="E263" s="55">
        <f t="shared" si="2"/>
        <v>0</v>
      </c>
      <c r="F263" s="56"/>
      <c r="G263" s="57">
        <f t="shared" si="3"/>
        <v>0</v>
      </c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  <c r="AE263" s="58"/>
      <c r="AF263" s="58"/>
    </row>
    <row r="264">
      <c r="A264" s="87"/>
      <c r="B264" s="96"/>
      <c r="C264" s="86"/>
      <c r="D264" s="54">
        <f t="shared" si="1"/>
        <v>0</v>
      </c>
      <c r="E264" s="55">
        <f t="shared" si="2"/>
        <v>0</v>
      </c>
      <c r="F264" s="56"/>
      <c r="G264" s="57">
        <f t="shared" si="3"/>
        <v>0</v>
      </c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  <c r="AE264" s="58"/>
      <c r="AF264" s="58"/>
    </row>
    <row r="265">
      <c r="A265" s="87"/>
      <c r="B265" s="96"/>
      <c r="C265" s="86"/>
      <c r="D265" s="54">
        <f t="shared" si="1"/>
        <v>0</v>
      </c>
      <c r="E265" s="55">
        <f t="shared" si="2"/>
        <v>0</v>
      </c>
      <c r="F265" s="56"/>
      <c r="G265" s="57">
        <f t="shared" si="3"/>
        <v>0</v>
      </c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  <c r="AE265" s="58"/>
      <c r="AF265" s="58"/>
    </row>
    <row r="266">
      <c r="A266" s="87"/>
      <c r="B266" s="96"/>
      <c r="C266" s="86"/>
      <c r="D266" s="54">
        <f t="shared" si="1"/>
        <v>0</v>
      </c>
      <c r="E266" s="55">
        <f t="shared" si="2"/>
        <v>0</v>
      </c>
      <c r="F266" s="56"/>
      <c r="G266" s="57">
        <f t="shared" si="3"/>
        <v>0</v>
      </c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  <c r="AE266" s="58"/>
      <c r="AF266" s="58"/>
    </row>
    <row r="267">
      <c r="A267" s="87"/>
      <c r="B267" s="96"/>
      <c r="C267" s="86"/>
      <c r="D267" s="54">
        <f t="shared" si="1"/>
        <v>0</v>
      </c>
      <c r="E267" s="55">
        <f t="shared" si="2"/>
        <v>0</v>
      </c>
      <c r="F267" s="56"/>
      <c r="G267" s="57">
        <f t="shared" si="3"/>
        <v>0</v>
      </c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  <c r="AE267" s="58"/>
      <c r="AF267" s="58"/>
    </row>
    <row r="268">
      <c r="A268" s="87"/>
      <c r="B268" s="96"/>
      <c r="C268" s="86"/>
      <c r="D268" s="54">
        <f t="shared" si="1"/>
        <v>0</v>
      </c>
      <c r="E268" s="55">
        <f t="shared" si="2"/>
        <v>0</v>
      </c>
      <c r="F268" s="56"/>
      <c r="G268" s="57">
        <f t="shared" si="3"/>
        <v>0</v>
      </c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  <c r="AE268" s="58"/>
      <c r="AF268" s="58"/>
    </row>
    <row r="269">
      <c r="A269" s="87"/>
      <c r="B269" s="96"/>
      <c r="C269" s="86"/>
      <c r="D269" s="54">
        <f t="shared" si="1"/>
        <v>0</v>
      </c>
      <c r="E269" s="55">
        <f t="shared" si="2"/>
        <v>0</v>
      </c>
      <c r="F269" s="56"/>
      <c r="G269" s="57">
        <f t="shared" si="3"/>
        <v>0</v>
      </c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  <c r="AE269" s="58"/>
      <c r="AF269" s="58"/>
    </row>
    <row r="270">
      <c r="A270" s="87"/>
      <c r="B270" s="96"/>
      <c r="C270" s="86"/>
      <c r="D270" s="54">
        <f t="shared" si="1"/>
        <v>0</v>
      </c>
      <c r="E270" s="55">
        <f t="shared" si="2"/>
        <v>0</v>
      </c>
      <c r="F270" s="56"/>
      <c r="G270" s="57">
        <f t="shared" si="3"/>
        <v>0</v>
      </c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  <c r="AE270" s="58"/>
      <c r="AF270" s="58"/>
    </row>
    <row r="271">
      <c r="A271" s="87"/>
      <c r="B271" s="96"/>
      <c r="C271" s="86"/>
      <c r="D271" s="54">
        <f t="shared" si="1"/>
        <v>0</v>
      </c>
      <c r="E271" s="55">
        <f t="shared" si="2"/>
        <v>0</v>
      </c>
      <c r="F271" s="56"/>
      <c r="G271" s="57">
        <f t="shared" si="3"/>
        <v>0</v>
      </c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  <c r="AE271" s="58"/>
      <c r="AF271" s="58"/>
    </row>
    <row r="272">
      <c r="A272" s="87"/>
      <c r="B272" s="96"/>
      <c r="C272" s="86"/>
      <c r="D272" s="54">
        <f t="shared" si="1"/>
        <v>0</v>
      </c>
      <c r="E272" s="55">
        <f t="shared" si="2"/>
        <v>0</v>
      </c>
      <c r="F272" s="56"/>
      <c r="G272" s="57">
        <f t="shared" si="3"/>
        <v>0</v>
      </c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  <c r="AE272" s="58"/>
      <c r="AF272" s="58"/>
    </row>
    <row r="273">
      <c r="A273" s="87"/>
      <c r="B273" s="96"/>
      <c r="C273" s="86"/>
      <c r="D273" s="54">
        <f t="shared" si="1"/>
        <v>0</v>
      </c>
      <c r="E273" s="55">
        <f t="shared" si="2"/>
        <v>0</v>
      </c>
      <c r="F273" s="56"/>
      <c r="G273" s="57">
        <f t="shared" si="3"/>
        <v>0</v>
      </c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  <c r="AE273" s="58"/>
      <c r="AF273" s="58"/>
    </row>
    <row r="274">
      <c r="A274" s="87"/>
      <c r="B274" s="96"/>
      <c r="C274" s="86"/>
      <c r="D274" s="54">
        <f t="shared" si="1"/>
        <v>0</v>
      </c>
      <c r="E274" s="55">
        <f t="shared" si="2"/>
        <v>0</v>
      </c>
      <c r="F274" s="56"/>
      <c r="G274" s="57">
        <f t="shared" si="3"/>
        <v>0</v>
      </c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  <c r="AE274" s="58"/>
      <c r="AF274" s="58"/>
    </row>
    <row r="275">
      <c r="A275" s="87"/>
      <c r="B275" s="96"/>
      <c r="C275" s="86"/>
      <c r="D275" s="54">
        <f t="shared" si="1"/>
        <v>0</v>
      </c>
      <c r="E275" s="55">
        <f t="shared" si="2"/>
        <v>0</v>
      </c>
      <c r="F275" s="56"/>
      <c r="G275" s="57">
        <f t="shared" si="3"/>
        <v>0</v>
      </c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  <c r="AE275" s="58"/>
      <c r="AF275" s="58"/>
    </row>
    <row r="276">
      <c r="A276" s="87"/>
      <c r="B276" s="96"/>
      <c r="C276" s="86"/>
      <c r="D276" s="54">
        <f t="shared" si="1"/>
        <v>0</v>
      </c>
      <c r="E276" s="55">
        <f t="shared" si="2"/>
        <v>0</v>
      </c>
      <c r="F276" s="56"/>
      <c r="G276" s="57">
        <f t="shared" si="3"/>
        <v>0</v>
      </c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  <c r="AE276" s="58"/>
      <c r="AF276" s="58"/>
    </row>
    <row r="277">
      <c r="A277" s="87"/>
      <c r="B277" s="96"/>
      <c r="C277" s="86"/>
      <c r="D277" s="54">
        <f t="shared" si="1"/>
        <v>0</v>
      </c>
      <c r="E277" s="55">
        <f t="shared" si="2"/>
        <v>0</v>
      </c>
      <c r="F277" s="56"/>
      <c r="G277" s="57">
        <f t="shared" si="3"/>
        <v>0</v>
      </c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  <c r="AE277" s="58"/>
      <c r="AF277" s="58"/>
    </row>
    <row r="278">
      <c r="A278" s="87"/>
      <c r="B278" s="96"/>
      <c r="C278" s="86"/>
      <c r="D278" s="54">
        <f t="shared" si="1"/>
        <v>0</v>
      </c>
      <c r="E278" s="55">
        <f t="shared" si="2"/>
        <v>0</v>
      </c>
      <c r="F278" s="56"/>
      <c r="G278" s="57">
        <f t="shared" si="3"/>
        <v>0</v>
      </c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  <c r="AE278" s="58"/>
      <c r="AF278" s="58"/>
    </row>
    <row r="279">
      <c r="A279" s="87"/>
      <c r="B279" s="96"/>
      <c r="C279" s="86"/>
      <c r="D279" s="54">
        <f t="shared" si="1"/>
        <v>0</v>
      </c>
      <c r="E279" s="55">
        <f t="shared" si="2"/>
        <v>0</v>
      </c>
      <c r="F279" s="56"/>
      <c r="G279" s="57">
        <f t="shared" si="3"/>
        <v>0</v>
      </c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  <c r="AE279" s="58"/>
      <c r="AF279" s="58"/>
    </row>
    <row r="280">
      <c r="A280" s="87"/>
      <c r="B280" s="96"/>
      <c r="C280" s="86"/>
      <c r="D280" s="54">
        <f t="shared" si="1"/>
        <v>0</v>
      </c>
      <c r="E280" s="55">
        <f t="shared" si="2"/>
        <v>0</v>
      </c>
      <c r="F280" s="56"/>
      <c r="G280" s="57">
        <f t="shared" si="3"/>
        <v>0</v>
      </c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  <c r="AE280" s="58"/>
      <c r="AF280" s="58"/>
    </row>
    <row r="281">
      <c r="A281" s="87"/>
      <c r="B281" s="96"/>
      <c r="C281" s="86"/>
      <c r="D281" s="54">
        <f t="shared" si="1"/>
        <v>0</v>
      </c>
      <c r="E281" s="55">
        <f t="shared" si="2"/>
        <v>0</v>
      </c>
      <c r="F281" s="56"/>
      <c r="G281" s="57">
        <f t="shared" si="3"/>
        <v>0</v>
      </c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  <c r="AE281" s="58"/>
      <c r="AF281" s="58"/>
    </row>
    <row r="282">
      <c r="A282" s="87"/>
      <c r="B282" s="96"/>
      <c r="C282" s="86"/>
      <c r="D282" s="54">
        <f t="shared" si="1"/>
        <v>0</v>
      </c>
      <c r="E282" s="55">
        <f t="shared" si="2"/>
        <v>0</v>
      </c>
      <c r="F282" s="56"/>
      <c r="G282" s="57">
        <f t="shared" si="3"/>
        <v>0</v>
      </c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  <c r="AE282" s="58"/>
      <c r="AF282" s="58"/>
    </row>
    <row r="283">
      <c r="A283" s="87"/>
      <c r="B283" s="96"/>
      <c r="C283" s="86"/>
      <c r="D283" s="54">
        <f t="shared" si="1"/>
        <v>0</v>
      </c>
      <c r="E283" s="55">
        <f t="shared" si="2"/>
        <v>0</v>
      </c>
      <c r="F283" s="56"/>
      <c r="G283" s="57">
        <f t="shared" si="3"/>
        <v>0</v>
      </c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  <c r="AE283" s="58"/>
      <c r="AF283" s="58"/>
    </row>
    <row r="284">
      <c r="A284" s="87"/>
      <c r="B284" s="96"/>
      <c r="C284" s="86"/>
      <c r="D284" s="54">
        <f t="shared" si="1"/>
        <v>0</v>
      </c>
      <c r="E284" s="55">
        <f t="shared" si="2"/>
        <v>0</v>
      </c>
      <c r="F284" s="56"/>
      <c r="G284" s="57">
        <f t="shared" si="3"/>
        <v>0</v>
      </c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  <c r="AE284" s="58"/>
      <c r="AF284" s="58"/>
    </row>
    <row r="285">
      <c r="A285" s="87"/>
      <c r="B285" s="96"/>
      <c r="C285" s="86"/>
      <c r="D285" s="54">
        <f t="shared" si="1"/>
        <v>0</v>
      </c>
      <c r="E285" s="55">
        <f t="shared" si="2"/>
        <v>0</v>
      </c>
      <c r="F285" s="56"/>
      <c r="G285" s="57">
        <f t="shared" si="3"/>
        <v>0</v>
      </c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  <c r="AE285" s="58"/>
      <c r="AF285" s="58"/>
    </row>
    <row r="286">
      <c r="A286" s="87"/>
      <c r="B286" s="96"/>
      <c r="C286" s="86"/>
      <c r="D286" s="54">
        <f t="shared" si="1"/>
        <v>0</v>
      </c>
      <c r="E286" s="55">
        <f t="shared" si="2"/>
        <v>0</v>
      </c>
      <c r="F286" s="56"/>
      <c r="G286" s="57">
        <f t="shared" si="3"/>
        <v>0</v>
      </c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  <c r="AE286" s="58"/>
      <c r="AF286" s="58"/>
    </row>
    <row r="287">
      <c r="A287" s="87"/>
      <c r="B287" s="96"/>
      <c r="C287" s="86"/>
      <c r="D287" s="54">
        <f t="shared" si="1"/>
        <v>0</v>
      </c>
      <c r="E287" s="55">
        <f t="shared" si="2"/>
        <v>0</v>
      </c>
      <c r="F287" s="56"/>
      <c r="G287" s="57">
        <f t="shared" si="3"/>
        <v>0</v>
      </c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  <c r="AE287" s="58"/>
      <c r="AF287" s="58"/>
    </row>
    <row r="288">
      <c r="A288" s="87"/>
      <c r="B288" s="96"/>
      <c r="C288" s="86"/>
      <c r="D288" s="54">
        <f t="shared" si="1"/>
        <v>0</v>
      </c>
      <c r="E288" s="55">
        <f t="shared" si="2"/>
        <v>0</v>
      </c>
      <c r="F288" s="56"/>
      <c r="G288" s="57">
        <f t="shared" si="3"/>
        <v>0</v>
      </c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  <c r="AE288" s="58"/>
      <c r="AF288" s="58"/>
    </row>
    <row r="289">
      <c r="A289" s="87"/>
      <c r="B289" s="96"/>
      <c r="C289" s="86"/>
      <c r="D289" s="54">
        <f t="shared" si="1"/>
        <v>0</v>
      </c>
      <c r="E289" s="55">
        <f t="shared" si="2"/>
        <v>0</v>
      </c>
      <c r="F289" s="56"/>
      <c r="G289" s="57">
        <f t="shared" si="3"/>
        <v>0</v>
      </c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  <c r="AE289" s="58"/>
      <c r="AF289" s="58"/>
    </row>
    <row r="290">
      <c r="A290" s="87"/>
      <c r="B290" s="96"/>
      <c r="C290" s="86"/>
      <c r="D290" s="54">
        <f t="shared" si="1"/>
        <v>0</v>
      </c>
      <c r="E290" s="55">
        <f t="shared" si="2"/>
        <v>0</v>
      </c>
      <c r="F290" s="56"/>
      <c r="G290" s="57">
        <f t="shared" si="3"/>
        <v>0</v>
      </c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  <c r="AE290" s="58"/>
      <c r="AF290" s="58"/>
    </row>
    <row r="291">
      <c r="A291" s="87"/>
      <c r="B291" s="96"/>
      <c r="C291" s="86"/>
      <c r="D291" s="54">
        <f t="shared" si="1"/>
        <v>0</v>
      </c>
      <c r="E291" s="55">
        <f t="shared" si="2"/>
        <v>0</v>
      </c>
      <c r="F291" s="56"/>
      <c r="G291" s="57">
        <f t="shared" si="3"/>
        <v>0</v>
      </c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  <c r="AE291" s="58"/>
      <c r="AF291" s="58"/>
    </row>
    <row r="292">
      <c r="A292" s="87"/>
      <c r="B292" s="96"/>
      <c r="C292" s="86"/>
      <c r="D292" s="54">
        <f t="shared" si="1"/>
        <v>0</v>
      </c>
      <c r="E292" s="55">
        <f t="shared" si="2"/>
        <v>0</v>
      </c>
      <c r="F292" s="56"/>
      <c r="G292" s="57">
        <f t="shared" si="3"/>
        <v>0</v>
      </c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  <c r="AE292" s="58"/>
      <c r="AF292" s="58"/>
    </row>
    <row r="293">
      <c r="A293" s="87"/>
      <c r="B293" s="96"/>
      <c r="C293" s="86"/>
      <c r="D293" s="54">
        <f t="shared" si="1"/>
        <v>0</v>
      </c>
      <c r="E293" s="55">
        <f t="shared" si="2"/>
        <v>0</v>
      </c>
      <c r="F293" s="56"/>
      <c r="G293" s="57">
        <f t="shared" si="3"/>
        <v>0</v>
      </c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  <c r="AE293" s="58"/>
      <c r="AF293" s="58"/>
    </row>
    <row r="294">
      <c r="A294" s="87"/>
      <c r="B294" s="96"/>
      <c r="C294" s="86"/>
      <c r="D294" s="54">
        <f t="shared" si="1"/>
        <v>0</v>
      </c>
      <c r="E294" s="55">
        <f t="shared" si="2"/>
        <v>0</v>
      </c>
      <c r="F294" s="56"/>
      <c r="G294" s="57">
        <f t="shared" si="3"/>
        <v>0</v>
      </c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  <c r="AE294" s="58"/>
      <c r="AF294" s="58"/>
    </row>
    <row r="295">
      <c r="A295" s="87"/>
      <c r="B295" s="96"/>
      <c r="C295" s="86"/>
      <c r="D295" s="54">
        <f t="shared" si="1"/>
        <v>0</v>
      </c>
      <c r="E295" s="55">
        <f t="shared" si="2"/>
        <v>0</v>
      </c>
      <c r="F295" s="56"/>
      <c r="G295" s="57">
        <f t="shared" si="3"/>
        <v>0</v>
      </c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  <c r="AE295" s="58"/>
      <c r="AF295" s="58"/>
    </row>
    <row r="296">
      <c r="A296" s="87"/>
      <c r="B296" s="96"/>
      <c r="C296" s="86"/>
      <c r="D296" s="54">
        <f t="shared" si="1"/>
        <v>0</v>
      </c>
      <c r="E296" s="55">
        <f t="shared" si="2"/>
        <v>0</v>
      </c>
      <c r="F296" s="56"/>
      <c r="G296" s="57">
        <f t="shared" si="3"/>
        <v>0</v>
      </c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  <c r="AE296" s="58"/>
      <c r="AF296" s="58"/>
    </row>
    <row r="297">
      <c r="A297" s="87"/>
      <c r="B297" s="96"/>
      <c r="C297" s="86"/>
      <c r="D297" s="54">
        <f t="shared" si="1"/>
        <v>0</v>
      </c>
      <c r="E297" s="55">
        <f t="shared" si="2"/>
        <v>0</v>
      </c>
      <c r="F297" s="56"/>
      <c r="G297" s="57">
        <f t="shared" si="3"/>
        <v>0</v>
      </c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  <c r="AE297" s="58"/>
      <c r="AF297" s="58"/>
    </row>
    <row r="298">
      <c r="A298" s="87"/>
      <c r="B298" s="96"/>
      <c r="C298" s="86"/>
      <c r="D298" s="54">
        <f t="shared" si="1"/>
        <v>0</v>
      </c>
      <c r="E298" s="55">
        <f t="shared" si="2"/>
        <v>0</v>
      </c>
      <c r="F298" s="56"/>
      <c r="G298" s="57">
        <f t="shared" si="3"/>
        <v>0</v>
      </c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  <c r="AE298" s="58"/>
      <c r="AF298" s="58"/>
    </row>
    <row r="299">
      <c r="A299" s="87"/>
      <c r="B299" s="96"/>
      <c r="C299" s="86"/>
      <c r="D299" s="54">
        <f t="shared" si="1"/>
        <v>0</v>
      </c>
      <c r="E299" s="55">
        <f t="shared" si="2"/>
        <v>0</v>
      </c>
      <c r="F299" s="56"/>
      <c r="G299" s="57">
        <f t="shared" si="3"/>
        <v>0</v>
      </c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  <c r="AE299" s="58"/>
      <c r="AF299" s="58"/>
    </row>
    <row r="300">
      <c r="A300" s="87"/>
      <c r="B300" s="96"/>
      <c r="C300" s="86"/>
      <c r="D300" s="54">
        <f t="shared" si="1"/>
        <v>0</v>
      </c>
      <c r="E300" s="55">
        <f t="shared" si="2"/>
        <v>0</v>
      </c>
      <c r="F300" s="56"/>
      <c r="G300" s="57">
        <f t="shared" si="3"/>
        <v>0</v>
      </c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  <c r="AE300" s="58"/>
      <c r="AF300" s="58"/>
    </row>
    <row r="301">
      <c r="A301" s="87"/>
      <c r="B301" s="96"/>
      <c r="C301" s="86"/>
      <c r="D301" s="54">
        <f t="shared" si="1"/>
        <v>0</v>
      </c>
      <c r="E301" s="55">
        <f t="shared" si="2"/>
        <v>0</v>
      </c>
      <c r="F301" s="56"/>
      <c r="G301" s="57">
        <f t="shared" si="3"/>
        <v>0</v>
      </c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  <c r="AE301" s="58"/>
      <c r="AF301" s="58"/>
    </row>
    <row r="302">
      <c r="A302" s="87"/>
      <c r="B302" s="96"/>
      <c r="C302" s="86"/>
      <c r="D302" s="54">
        <f t="shared" si="1"/>
        <v>0</v>
      </c>
      <c r="E302" s="55">
        <f t="shared" si="2"/>
        <v>0</v>
      </c>
      <c r="F302" s="56"/>
      <c r="G302" s="57">
        <f t="shared" si="3"/>
        <v>0</v>
      </c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  <c r="AE302" s="58"/>
      <c r="AF302" s="58"/>
    </row>
    <row r="303">
      <c r="A303" s="87"/>
      <c r="B303" s="96"/>
      <c r="C303" s="86"/>
      <c r="D303" s="54">
        <f t="shared" si="1"/>
        <v>0</v>
      </c>
      <c r="E303" s="55">
        <f t="shared" si="2"/>
        <v>0</v>
      </c>
      <c r="F303" s="56"/>
      <c r="G303" s="57">
        <f t="shared" si="3"/>
        <v>0</v>
      </c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</row>
    <row r="304">
      <c r="A304" s="87"/>
      <c r="B304" s="96"/>
      <c r="C304" s="86"/>
      <c r="D304" s="54">
        <f t="shared" si="1"/>
        <v>0</v>
      </c>
      <c r="E304" s="55">
        <f t="shared" si="2"/>
        <v>0</v>
      </c>
      <c r="F304" s="56"/>
      <c r="G304" s="57">
        <f t="shared" si="3"/>
        <v>0</v>
      </c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</row>
    <row r="305">
      <c r="A305" s="87"/>
      <c r="B305" s="96"/>
      <c r="C305" s="86"/>
      <c r="D305" s="54">
        <f t="shared" si="1"/>
        <v>0</v>
      </c>
      <c r="E305" s="55">
        <f t="shared" si="2"/>
        <v>0</v>
      </c>
      <c r="F305" s="56"/>
      <c r="G305" s="57">
        <f t="shared" si="3"/>
        <v>0</v>
      </c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  <c r="AE305" s="58"/>
      <c r="AF305" s="58"/>
    </row>
    <row r="306">
      <c r="A306" s="87"/>
      <c r="B306" s="96"/>
      <c r="C306" s="86"/>
      <c r="D306" s="54">
        <f t="shared" si="1"/>
        <v>0</v>
      </c>
      <c r="E306" s="55">
        <f t="shared" si="2"/>
        <v>0</v>
      </c>
      <c r="F306" s="56"/>
      <c r="G306" s="57">
        <f t="shared" si="3"/>
        <v>0</v>
      </c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  <c r="AE306" s="58"/>
      <c r="AF306" s="58"/>
    </row>
    <row r="307">
      <c r="A307" s="87"/>
      <c r="B307" s="96"/>
      <c r="C307" s="86"/>
      <c r="D307" s="54">
        <f t="shared" si="1"/>
        <v>0</v>
      </c>
      <c r="E307" s="55">
        <f t="shared" si="2"/>
        <v>0</v>
      </c>
      <c r="F307" s="56"/>
      <c r="G307" s="57">
        <f t="shared" si="3"/>
        <v>0</v>
      </c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  <c r="AE307" s="58"/>
      <c r="AF307" s="58"/>
    </row>
    <row r="308">
      <c r="A308" s="87"/>
      <c r="B308" s="96"/>
      <c r="C308" s="86"/>
      <c r="D308" s="54">
        <f t="shared" si="1"/>
        <v>0</v>
      </c>
      <c r="E308" s="55">
        <f t="shared" si="2"/>
        <v>0</v>
      </c>
      <c r="F308" s="56"/>
      <c r="G308" s="57">
        <f t="shared" si="3"/>
        <v>0</v>
      </c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  <c r="AE308" s="58"/>
      <c r="AF308" s="58"/>
    </row>
    <row r="309">
      <c r="A309" s="87"/>
      <c r="B309" s="96"/>
      <c r="C309" s="86"/>
      <c r="D309" s="54">
        <f t="shared" si="1"/>
        <v>0</v>
      </c>
      <c r="E309" s="55">
        <f t="shared" si="2"/>
        <v>0</v>
      </c>
      <c r="F309" s="56"/>
      <c r="G309" s="57">
        <f t="shared" si="3"/>
        <v>0</v>
      </c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  <c r="AE309" s="58"/>
      <c r="AF309" s="58"/>
    </row>
    <row r="310">
      <c r="A310" s="87"/>
      <c r="B310" s="96"/>
      <c r="C310" s="86"/>
      <c r="D310" s="54">
        <f t="shared" si="1"/>
        <v>0</v>
      </c>
      <c r="E310" s="55">
        <f t="shared" si="2"/>
        <v>0</v>
      </c>
      <c r="F310" s="56"/>
      <c r="G310" s="57">
        <f t="shared" si="3"/>
        <v>0</v>
      </c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  <c r="AE310" s="58"/>
      <c r="AF310" s="58"/>
    </row>
    <row r="311">
      <c r="A311" s="87"/>
      <c r="B311" s="96"/>
      <c r="C311" s="86"/>
      <c r="D311" s="54">
        <f t="shared" si="1"/>
        <v>0</v>
      </c>
      <c r="E311" s="55">
        <f t="shared" si="2"/>
        <v>0</v>
      </c>
      <c r="F311" s="56"/>
      <c r="G311" s="57">
        <f t="shared" si="3"/>
        <v>0</v>
      </c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  <c r="AE311" s="58"/>
      <c r="AF311" s="58"/>
    </row>
    <row r="312">
      <c r="A312" s="87"/>
      <c r="B312" s="96"/>
      <c r="C312" s="86"/>
      <c r="D312" s="54">
        <f t="shared" si="1"/>
        <v>0</v>
      </c>
      <c r="E312" s="55">
        <f t="shared" si="2"/>
        <v>0</v>
      </c>
      <c r="F312" s="56"/>
      <c r="G312" s="57">
        <f t="shared" si="3"/>
        <v>0</v>
      </c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  <c r="AE312" s="58"/>
      <c r="AF312" s="58"/>
    </row>
    <row r="313">
      <c r="A313" s="87"/>
      <c r="B313" s="96"/>
      <c r="C313" s="86"/>
      <c r="D313" s="54">
        <f t="shared" si="1"/>
        <v>0</v>
      </c>
      <c r="E313" s="55">
        <f t="shared" si="2"/>
        <v>0</v>
      </c>
      <c r="F313" s="56"/>
      <c r="G313" s="57">
        <f t="shared" si="3"/>
        <v>0</v>
      </c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  <c r="AE313" s="58"/>
      <c r="AF313" s="58"/>
    </row>
    <row r="314">
      <c r="A314" s="87"/>
      <c r="B314" s="96"/>
      <c r="C314" s="86"/>
      <c r="D314" s="54">
        <f t="shared" si="1"/>
        <v>0</v>
      </c>
      <c r="E314" s="55">
        <f t="shared" si="2"/>
        <v>0</v>
      </c>
      <c r="F314" s="56"/>
      <c r="G314" s="57">
        <f t="shared" si="3"/>
        <v>0</v>
      </c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  <c r="AE314" s="58"/>
      <c r="AF314" s="58"/>
    </row>
    <row r="315">
      <c r="A315" s="87"/>
      <c r="B315" s="96"/>
      <c r="C315" s="86"/>
      <c r="D315" s="54">
        <f t="shared" si="1"/>
        <v>0</v>
      </c>
      <c r="E315" s="55">
        <f t="shared" si="2"/>
        <v>0</v>
      </c>
      <c r="F315" s="56"/>
      <c r="G315" s="57">
        <f t="shared" si="3"/>
        <v>0</v>
      </c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  <c r="AE315" s="58"/>
      <c r="AF315" s="58"/>
    </row>
    <row r="316">
      <c r="A316" s="87"/>
      <c r="B316" s="96"/>
      <c r="C316" s="86"/>
      <c r="D316" s="54">
        <f t="shared" si="1"/>
        <v>0</v>
      </c>
      <c r="E316" s="55">
        <f t="shared" si="2"/>
        <v>0</v>
      </c>
      <c r="F316" s="56"/>
      <c r="G316" s="57">
        <f t="shared" si="3"/>
        <v>0</v>
      </c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  <c r="AE316" s="58"/>
      <c r="AF316" s="58"/>
    </row>
    <row r="317">
      <c r="A317" s="87"/>
      <c r="B317" s="96"/>
      <c r="C317" s="86"/>
      <c r="D317" s="54">
        <f t="shared" si="1"/>
        <v>0</v>
      </c>
      <c r="E317" s="55">
        <f t="shared" si="2"/>
        <v>0</v>
      </c>
      <c r="F317" s="56"/>
      <c r="G317" s="57">
        <f t="shared" si="3"/>
        <v>0</v>
      </c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  <c r="AE317" s="58"/>
      <c r="AF317" s="58"/>
    </row>
    <row r="318">
      <c r="A318" s="87"/>
      <c r="B318" s="96"/>
      <c r="C318" s="86"/>
      <c r="D318" s="54">
        <f t="shared" si="1"/>
        <v>0</v>
      </c>
      <c r="E318" s="55">
        <f t="shared" si="2"/>
        <v>0</v>
      </c>
      <c r="F318" s="56"/>
      <c r="G318" s="57">
        <f t="shared" si="3"/>
        <v>0</v>
      </c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  <c r="AE318" s="58"/>
      <c r="AF318" s="58"/>
    </row>
    <row r="319">
      <c r="A319" s="87"/>
      <c r="B319" s="96"/>
      <c r="C319" s="86"/>
      <c r="D319" s="54">
        <f t="shared" si="1"/>
        <v>0</v>
      </c>
      <c r="E319" s="55">
        <f t="shared" si="2"/>
        <v>0</v>
      </c>
      <c r="F319" s="56"/>
      <c r="G319" s="57">
        <f t="shared" si="3"/>
        <v>0</v>
      </c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  <c r="AE319" s="58"/>
      <c r="AF319" s="58"/>
    </row>
    <row r="320">
      <c r="A320" s="87"/>
      <c r="B320" s="96"/>
      <c r="C320" s="86"/>
      <c r="D320" s="54">
        <f t="shared" si="1"/>
        <v>0</v>
      </c>
      <c r="E320" s="55">
        <f t="shared" si="2"/>
        <v>0</v>
      </c>
      <c r="F320" s="56"/>
      <c r="G320" s="57">
        <f t="shared" si="3"/>
        <v>0</v>
      </c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  <c r="AE320" s="58"/>
      <c r="AF320" s="58"/>
    </row>
    <row r="321">
      <c r="A321" s="87"/>
      <c r="B321" s="96"/>
      <c r="C321" s="86"/>
      <c r="D321" s="54">
        <f t="shared" si="1"/>
        <v>0</v>
      </c>
      <c r="E321" s="55">
        <f t="shared" si="2"/>
        <v>0</v>
      </c>
      <c r="F321" s="56"/>
      <c r="G321" s="57">
        <f t="shared" si="3"/>
        <v>0</v>
      </c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  <c r="AE321" s="58"/>
      <c r="AF321" s="58"/>
    </row>
    <row r="322">
      <c r="A322" s="87"/>
      <c r="B322" s="96"/>
      <c r="C322" s="86"/>
      <c r="D322" s="54">
        <f t="shared" si="1"/>
        <v>0</v>
      </c>
      <c r="E322" s="55">
        <f t="shared" si="2"/>
        <v>0</v>
      </c>
      <c r="F322" s="56"/>
      <c r="G322" s="57">
        <f t="shared" si="3"/>
        <v>0</v>
      </c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  <c r="AE322" s="58"/>
      <c r="AF322" s="58"/>
    </row>
    <row r="323">
      <c r="A323" s="87"/>
      <c r="B323" s="96"/>
      <c r="C323" s="86"/>
      <c r="D323" s="54">
        <f t="shared" si="1"/>
        <v>0</v>
      </c>
      <c r="E323" s="55">
        <f t="shared" si="2"/>
        <v>0</v>
      </c>
      <c r="F323" s="56"/>
      <c r="G323" s="57">
        <f t="shared" si="3"/>
        <v>0</v>
      </c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  <c r="AE323" s="58"/>
      <c r="AF323" s="58"/>
    </row>
    <row r="324">
      <c r="A324" s="87"/>
      <c r="B324" s="96"/>
      <c r="C324" s="86"/>
      <c r="D324" s="54">
        <f t="shared" si="1"/>
        <v>0</v>
      </c>
      <c r="E324" s="55">
        <f t="shared" si="2"/>
        <v>0</v>
      </c>
      <c r="F324" s="56"/>
      <c r="G324" s="57">
        <f t="shared" si="3"/>
        <v>0</v>
      </c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  <c r="AE324" s="58"/>
      <c r="AF324" s="58"/>
    </row>
    <row r="325">
      <c r="A325" s="87"/>
      <c r="B325" s="96"/>
      <c r="C325" s="86"/>
      <c r="D325" s="54">
        <f t="shared" si="1"/>
        <v>0</v>
      </c>
      <c r="E325" s="55">
        <f t="shared" si="2"/>
        <v>0</v>
      </c>
      <c r="F325" s="56"/>
      <c r="G325" s="57">
        <f t="shared" si="3"/>
        <v>0</v>
      </c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  <c r="AE325" s="58"/>
      <c r="AF325" s="58"/>
    </row>
    <row r="326">
      <c r="A326" s="87"/>
      <c r="B326" s="96"/>
      <c r="C326" s="86"/>
      <c r="D326" s="54">
        <f t="shared" si="1"/>
        <v>0</v>
      </c>
      <c r="E326" s="55">
        <f t="shared" si="2"/>
        <v>0</v>
      </c>
      <c r="F326" s="56"/>
      <c r="G326" s="57">
        <f t="shared" si="3"/>
        <v>0</v>
      </c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  <c r="AE326" s="58"/>
      <c r="AF326" s="58"/>
    </row>
    <row r="327">
      <c r="A327" s="87"/>
      <c r="B327" s="96"/>
      <c r="C327" s="86"/>
      <c r="D327" s="54">
        <f t="shared" si="1"/>
        <v>0</v>
      </c>
      <c r="E327" s="55">
        <f t="shared" si="2"/>
        <v>0</v>
      </c>
      <c r="F327" s="56"/>
      <c r="G327" s="57">
        <f t="shared" si="3"/>
        <v>0</v>
      </c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  <c r="AE327" s="58"/>
      <c r="AF327" s="58"/>
    </row>
    <row r="328">
      <c r="A328" s="87"/>
      <c r="B328" s="96"/>
      <c r="C328" s="86"/>
      <c r="D328" s="54">
        <f t="shared" si="1"/>
        <v>0</v>
      </c>
      <c r="E328" s="55">
        <f t="shared" si="2"/>
        <v>0</v>
      </c>
      <c r="F328" s="56"/>
      <c r="G328" s="57">
        <f t="shared" si="3"/>
        <v>0</v>
      </c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  <c r="AE328" s="58"/>
      <c r="AF328" s="58"/>
    </row>
    <row r="329">
      <c r="A329" s="87"/>
      <c r="B329" s="96"/>
      <c r="C329" s="86"/>
      <c r="D329" s="54">
        <f t="shared" si="1"/>
        <v>0</v>
      </c>
      <c r="E329" s="55">
        <f t="shared" si="2"/>
        <v>0</v>
      </c>
      <c r="F329" s="56"/>
      <c r="G329" s="57">
        <f t="shared" si="3"/>
        <v>0</v>
      </c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  <c r="AE329" s="58"/>
      <c r="AF329" s="58"/>
    </row>
    <row r="330">
      <c r="A330" s="87"/>
      <c r="B330" s="96"/>
      <c r="C330" s="86"/>
      <c r="D330" s="54">
        <f t="shared" si="1"/>
        <v>0</v>
      </c>
      <c r="E330" s="55">
        <f t="shared" si="2"/>
        <v>0</v>
      </c>
      <c r="F330" s="56"/>
      <c r="G330" s="57">
        <f t="shared" si="3"/>
        <v>0</v>
      </c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  <c r="AE330" s="58"/>
      <c r="AF330" s="58"/>
    </row>
    <row r="331">
      <c r="A331" s="87"/>
      <c r="B331" s="96"/>
      <c r="C331" s="86"/>
      <c r="D331" s="54">
        <f t="shared" si="1"/>
        <v>0</v>
      </c>
      <c r="E331" s="55">
        <f t="shared" si="2"/>
        <v>0</v>
      </c>
      <c r="F331" s="56"/>
      <c r="G331" s="57">
        <f t="shared" si="3"/>
        <v>0</v>
      </c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  <c r="AE331" s="58"/>
      <c r="AF331" s="58"/>
    </row>
    <row r="332">
      <c r="A332" s="87"/>
      <c r="B332" s="96"/>
      <c r="C332" s="86"/>
      <c r="D332" s="54">
        <f t="shared" si="1"/>
        <v>0</v>
      </c>
      <c r="E332" s="55">
        <f t="shared" si="2"/>
        <v>0</v>
      </c>
      <c r="F332" s="56"/>
      <c r="G332" s="57">
        <f t="shared" si="3"/>
        <v>0</v>
      </c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  <c r="AE332" s="58"/>
      <c r="AF332" s="58"/>
    </row>
    <row r="333">
      <c r="A333" s="87"/>
      <c r="B333" s="96"/>
      <c r="C333" s="86"/>
      <c r="D333" s="54">
        <f t="shared" si="1"/>
        <v>0</v>
      </c>
      <c r="E333" s="55">
        <f t="shared" si="2"/>
        <v>0</v>
      </c>
      <c r="F333" s="56"/>
      <c r="G333" s="57">
        <f t="shared" si="3"/>
        <v>0</v>
      </c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  <c r="AE333" s="58"/>
      <c r="AF333" s="58"/>
    </row>
    <row r="334">
      <c r="A334" s="87"/>
      <c r="B334" s="96"/>
      <c r="C334" s="86"/>
      <c r="D334" s="54">
        <f t="shared" si="1"/>
        <v>0</v>
      </c>
      <c r="E334" s="55">
        <f t="shared" si="2"/>
        <v>0</v>
      </c>
      <c r="F334" s="56"/>
      <c r="G334" s="57">
        <f t="shared" si="3"/>
        <v>0</v>
      </c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  <c r="AE334" s="58"/>
      <c r="AF334" s="58"/>
    </row>
    <row r="335">
      <c r="A335" s="87"/>
      <c r="B335" s="96"/>
      <c r="C335" s="86"/>
      <c r="D335" s="54">
        <f t="shared" si="1"/>
        <v>0</v>
      </c>
      <c r="E335" s="55">
        <f t="shared" si="2"/>
        <v>0</v>
      </c>
      <c r="F335" s="56"/>
      <c r="G335" s="57">
        <f t="shared" si="3"/>
        <v>0</v>
      </c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  <c r="AE335" s="58"/>
      <c r="AF335" s="58"/>
    </row>
    <row r="336">
      <c r="A336" s="87"/>
      <c r="B336" s="96"/>
      <c r="C336" s="86"/>
      <c r="D336" s="54">
        <f t="shared" si="1"/>
        <v>0</v>
      </c>
      <c r="E336" s="55">
        <f t="shared" si="2"/>
        <v>0</v>
      </c>
      <c r="F336" s="56"/>
      <c r="G336" s="57">
        <f t="shared" si="3"/>
        <v>0</v>
      </c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  <c r="AE336" s="58"/>
      <c r="AF336" s="58"/>
    </row>
    <row r="337">
      <c r="A337" s="87"/>
      <c r="B337" s="96"/>
      <c r="C337" s="86"/>
      <c r="D337" s="54">
        <f t="shared" si="1"/>
        <v>0</v>
      </c>
      <c r="E337" s="55">
        <f t="shared" si="2"/>
        <v>0</v>
      </c>
      <c r="F337" s="56"/>
      <c r="G337" s="57">
        <f t="shared" si="3"/>
        <v>0</v>
      </c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  <c r="AE337" s="58"/>
      <c r="AF337" s="58"/>
    </row>
    <row r="338">
      <c r="A338" s="87"/>
      <c r="B338" s="96"/>
      <c r="C338" s="86"/>
      <c r="D338" s="54">
        <f t="shared" si="1"/>
        <v>0</v>
      </c>
      <c r="E338" s="55">
        <f t="shared" si="2"/>
        <v>0</v>
      </c>
      <c r="F338" s="56"/>
      <c r="G338" s="57">
        <f t="shared" si="3"/>
        <v>0</v>
      </c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  <c r="AE338" s="58"/>
      <c r="AF338" s="58"/>
    </row>
    <row r="339">
      <c r="A339" s="87"/>
      <c r="B339" s="96"/>
      <c r="C339" s="86"/>
      <c r="D339" s="54">
        <f t="shared" si="1"/>
        <v>0</v>
      </c>
      <c r="E339" s="55">
        <f t="shared" si="2"/>
        <v>0</v>
      </c>
      <c r="F339" s="56"/>
      <c r="G339" s="57">
        <f t="shared" si="3"/>
        <v>0</v>
      </c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  <c r="AE339" s="58"/>
      <c r="AF339" s="58"/>
    </row>
    <row r="340">
      <c r="A340" s="87"/>
      <c r="B340" s="96"/>
      <c r="C340" s="86"/>
      <c r="D340" s="54">
        <f t="shared" si="1"/>
        <v>0</v>
      </c>
      <c r="E340" s="55">
        <f t="shared" si="2"/>
        <v>0</v>
      </c>
      <c r="F340" s="56"/>
      <c r="G340" s="57">
        <f t="shared" si="3"/>
        <v>0</v>
      </c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  <c r="AE340" s="58"/>
      <c r="AF340" s="58"/>
    </row>
    <row r="341">
      <c r="A341" s="87"/>
      <c r="B341" s="96"/>
      <c r="C341" s="86"/>
      <c r="D341" s="54">
        <f t="shared" si="1"/>
        <v>0</v>
      </c>
      <c r="E341" s="55">
        <f t="shared" si="2"/>
        <v>0</v>
      </c>
      <c r="F341" s="56"/>
      <c r="G341" s="57">
        <f t="shared" si="3"/>
        <v>0</v>
      </c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  <c r="AE341" s="58"/>
      <c r="AF341" s="58"/>
    </row>
    <row r="342">
      <c r="A342" s="87"/>
      <c r="B342" s="96"/>
      <c r="C342" s="86"/>
      <c r="D342" s="54">
        <f t="shared" si="1"/>
        <v>0</v>
      </c>
      <c r="E342" s="55">
        <f t="shared" si="2"/>
        <v>0</v>
      </c>
      <c r="F342" s="56"/>
      <c r="G342" s="57">
        <f t="shared" si="3"/>
        <v>0</v>
      </c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  <c r="AE342" s="58"/>
      <c r="AF342" s="58"/>
    </row>
    <row r="343">
      <c r="A343" s="87"/>
      <c r="B343" s="96"/>
      <c r="C343" s="86"/>
      <c r="D343" s="54">
        <f t="shared" si="1"/>
        <v>0</v>
      </c>
      <c r="E343" s="55">
        <f t="shared" si="2"/>
        <v>0</v>
      </c>
      <c r="F343" s="56"/>
      <c r="G343" s="57">
        <f t="shared" si="3"/>
        <v>0</v>
      </c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  <c r="AE343" s="58"/>
      <c r="AF343" s="58"/>
    </row>
    <row r="344">
      <c r="A344" s="87"/>
      <c r="B344" s="96"/>
      <c r="C344" s="86"/>
      <c r="D344" s="54">
        <f t="shared" si="1"/>
        <v>0</v>
      </c>
      <c r="E344" s="55">
        <f t="shared" si="2"/>
        <v>0</v>
      </c>
      <c r="F344" s="56"/>
      <c r="G344" s="57">
        <f t="shared" si="3"/>
        <v>0</v>
      </c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  <c r="AE344" s="58"/>
      <c r="AF344" s="58"/>
    </row>
    <row r="345">
      <c r="A345" s="87"/>
      <c r="B345" s="96"/>
      <c r="C345" s="86"/>
      <c r="D345" s="54">
        <f t="shared" si="1"/>
        <v>0</v>
      </c>
      <c r="E345" s="55">
        <f t="shared" si="2"/>
        <v>0</v>
      </c>
      <c r="F345" s="56"/>
      <c r="G345" s="57">
        <f t="shared" si="3"/>
        <v>0</v>
      </c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  <c r="AE345" s="58"/>
      <c r="AF345" s="58"/>
    </row>
    <row r="346">
      <c r="A346" s="87"/>
      <c r="B346" s="96"/>
      <c r="C346" s="86"/>
      <c r="D346" s="54">
        <f t="shared" si="1"/>
        <v>0</v>
      </c>
      <c r="E346" s="55">
        <f t="shared" si="2"/>
        <v>0</v>
      </c>
      <c r="F346" s="56"/>
      <c r="G346" s="57">
        <f t="shared" si="3"/>
        <v>0</v>
      </c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  <c r="AE346" s="58"/>
      <c r="AF346" s="58"/>
    </row>
    <row r="347">
      <c r="A347" s="87"/>
      <c r="B347" s="96"/>
      <c r="C347" s="86"/>
      <c r="D347" s="54">
        <f t="shared" si="1"/>
        <v>0</v>
      </c>
      <c r="E347" s="55">
        <f t="shared" si="2"/>
        <v>0</v>
      </c>
      <c r="F347" s="56"/>
      <c r="G347" s="57">
        <f t="shared" si="3"/>
        <v>0</v>
      </c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  <c r="AE347" s="58"/>
      <c r="AF347" s="58"/>
    </row>
    <row r="348">
      <c r="A348" s="87"/>
      <c r="B348" s="96"/>
      <c r="C348" s="86"/>
      <c r="D348" s="54">
        <f t="shared" si="1"/>
        <v>0</v>
      </c>
      <c r="E348" s="55">
        <f t="shared" si="2"/>
        <v>0</v>
      </c>
      <c r="F348" s="56"/>
      <c r="G348" s="57">
        <f t="shared" si="3"/>
        <v>0</v>
      </c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  <c r="AE348" s="58"/>
      <c r="AF348" s="58"/>
    </row>
    <row r="349">
      <c r="A349" s="87"/>
      <c r="B349" s="96"/>
      <c r="C349" s="86"/>
      <c r="D349" s="54">
        <f t="shared" si="1"/>
        <v>0</v>
      </c>
      <c r="E349" s="55">
        <f t="shared" si="2"/>
        <v>0</v>
      </c>
      <c r="F349" s="56"/>
      <c r="G349" s="57">
        <f t="shared" si="3"/>
        <v>0</v>
      </c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  <c r="AE349" s="58"/>
      <c r="AF349" s="58"/>
    </row>
    <row r="350">
      <c r="A350" s="87"/>
      <c r="B350" s="96"/>
      <c r="C350" s="86"/>
      <c r="D350" s="54">
        <f t="shared" si="1"/>
        <v>0</v>
      </c>
      <c r="E350" s="55">
        <f t="shared" si="2"/>
        <v>0</v>
      </c>
      <c r="F350" s="56"/>
      <c r="G350" s="57">
        <f t="shared" si="3"/>
        <v>0</v>
      </c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  <c r="AE350" s="58"/>
      <c r="AF350" s="58"/>
    </row>
    <row r="351">
      <c r="A351" s="87"/>
      <c r="B351" s="96"/>
      <c r="C351" s="86"/>
      <c r="D351" s="54">
        <f t="shared" si="1"/>
        <v>0</v>
      </c>
      <c r="E351" s="55">
        <f t="shared" si="2"/>
        <v>0</v>
      </c>
      <c r="F351" s="56"/>
      <c r="G351" s="57">
        <f t="shared" si="3"/>
        <v>0</v>
      </c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  <c r="AE351" s="58"/>
      <c r="AF351" s="58"/>
    </row>
    <row r="352">
      <c r="A352" s="87"/>
      <c r="B352" s="96"/>
      <c r="C352" s="86"/>
      <c r="D352" s="54">
        <f t="shared" si="1"/>
        <v>0</v>
      </c>
      <c r="E352" s="55">
        <f t="shared" si="2"/>
        <v>0</v>
      </c>
      <c r="F352" s="56"/>
      <c r="G352" s="57">
        <f t="shared" si="3"/>
        <v>0</v>
      </c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  <c r="AE352" s="58"/>
      <c r="AF352" s="58"/>
    </row>
    <row r="353">
      <c r="A353" s="87"/>
      <c r="B353" s="96"/>
      <c r="C353" s="86"/>
      <c r="D353" s="54">
        <f t="shared" si="1"/>
        <v>0</v>
      </c>
      <c r="E353" s="55">
        <f t="shared" si="2"/>
        <v>0</v>
      </c>
      <c r="F353" s="56"/>
      <c r="G353" s="57">
        <f t="shared" si="3"/>
        <v>0</v>
      </c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  <c r="AE353" s="58"/>
      <c r="AF353" s="58"/>
    </row>
    <row r="354">
      <c r="A354" s="87"/>
      <c r="B354" s="96"/>
      <c r="C354" s="86"/>
      <c r="D354" s="54">
        <f t="shared" si="1"/>
        <v>0</v>
      </c>
      <c r="E354" s="55">
        <f t="shared" si="2"/>
        <v>0</v>
      </c>
      <c r="F354" s="56"/>
      <c r="G354" s="57">
        <f t="shared" si="3"/>
        <v>0</v>
      </c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  <c r="AE354" s="58"/>
      <c r="AF354" s="58"/>
    </row>
    <row r="355">
      <c r="A355" s="87"/>
      <c r="B355" s="96"/>
      <c r="C355" s="86"/>
      <c r="D355" s="54">
        <f t="shared" si="1"/>
        <v>0</v>
      </c>
      <c r="E355" s="55">
        <f t="shared" si="2"/>
        <v>0</v>
      </c>
      <c r="F355" s="56"/>
      <c r="G355" s="57">
        <f t="shared" si="3"/>
        <v>0</v>
      </c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  <c r="AE355" s="58"/>
      <c r="AF355" s="58"/>
    </row>
    <row r="356">
      <c r="A356" s="87"/>
      <c r="B356" s="96"/>
      <c r="C356" s="86"/>
      <c r="D356" s="54">
        <f t="shared" si="1"/>
        <v>0</v>
      </c>
      <c r="E356" s="55">
        <f t="shared" si="2"/>
        <v>0</v>
      </c>
      <c r="F356" s="56"/>
      <c r="G356" s="57">
        <f t="shared" si="3"/>
        <v>0</v>
      </c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  <c r="AE356" s="58"/>
      <c r="AF356" s="58"/>
    </row>
    <row r="357">
      <c r="A357" s="87"/>
      <c r="B357" s="96"/>
      <c r="C357" s="86"/>
      <c r="D357" s="54">
        <f t="shared" si="1"/>
        <v>0</v>
      </c>
      <c r="E357" s="55">
        <f t="shared" si="2"/>
        <v>0</v>
      </c>
      <c r="F357" s="56"/>
      <c r="G357" s="57">
        <f t="shared" si="3"/>
        <v>0</v>
      </c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  <c r="AE357" s="58"/>
      <c r="AF357" s="58"/>
    </row>
    <row r="358">
      <c r="A358" s="87"/>
      <c r="B358" s="96"/>
      <c r="C358" s="86"/>
      <c r="D358" s="54">
        <f t="shared" si="1"/>
        <v>0</v>
      </c>
      <c r="E358" s="55">
        <f t="shared" si="2"/>
        <v>0</v>
      </c>
      <c r="F358" s="56"/>
      <c r="G358" s="57">
        <f t="shared" si="3"/>
        <v>0</v>
      </c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  <c r="AE358" s="58"/>
      <c r="AF358" s="58"/>
    </row>
    <row r="359">
      <c r="A359" s="87"/>
      <c r="B359" s="96"/>
      <c r="C359" s="86"/>
      <c r="D359" s="54">
        <f t="shared" si="1"/>
        <v>0</v>
      </c>
      <c r="E359" s="55">
        <f t="shared" si="2"/>
        <v>0</v>
      </c>
      <c r="F359" s="56"/>
      <c r="G359" s="57">
        <f t="shared" si="3"/>
        <v>0</v>
      </c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  <c r="AE359" s="58"/>
      <c r="AF359" s="58"/>
    </row>
    <row r="360">
      <c r="A360" s="87"/>
      <c r="B360" s="96"/>
      <c r="C360" s="86"/>
      <c r="D360" s="54">
        <f t="shared" si="1"/>
        <v>0</v>
      </c>
      <c r="E360" s="55">
        <f t="shared" si="2"/>
        <v>0</v>
      </c>
      <c r="F360" s="56"/>
      <c r="G360" s="57">
        <f t="shared" si="3"/>
        <v>0</v>
      </c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  <c r="AE360" s="58"/>
      <c r="AF360" s="58"/>
    </row>
    <row r="361">
      <c r="A361" s="87"/>
      <c r="B361" s="96"/>
      <c r="C361" s="86"/>
      <c r="D361" s="54">
        <f t="shared" si="1"/>
        <v>0</v>
      </c>
      <c r="E361" s="55">
        <f t="shared" si="2"/>
        <v>0</v>
      </c>
      <c r="F361" s="56"/>
      <c r="G361" s="57">
        <f t="shared" si="3"/>
        <v>0</v>
      </c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  <c r="AE361" s="58"/>
      <c r="AF361" s="58"/>
    </row>
    <row r="362">
      <c r="A362" s="87"/>
      <c r="B362" s="96"/>
      <c r="C362" s="86"/>
      <c r="D362" s="54">
        <f t="shared" si="1"/>
        <v>0</v>
      </c>
      <c r="E362" s="55">
        <f t="shared" si="2"/>
        <v>0</v>
      </c>
      <c r="F362" s="56"/>
      <c r="G362" s="57">
        <f t="shared" si="3"/>
        <v>0</v>
      </c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  <c r="AE362" s="58"/>
      <c r="AF362" s="58"/>
    </row>
    <row r="363">
      <c r="A363" s="87"/>
      <c r="B363" s="96"/>
      <c r="C363" s="86"/>
      <c r="D363" s="54">
        <f t="shared" si="1"/>
        <v>0</v>
      </c>
      <c r="E363" s="55">
        <f t="shared" si="2"/>
        <v>0</v>
      </c>
      <c r="F363" s="56"/>
      <c r="G363" s="57">
        <f t="shared" si="3"/>
        <v>0</v>
      </c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  <c r="AE363" s="58"/>
      <c r="AF363" s="58"/>
    </row>
    <row r="364">
      <c r="A364" s="87"/>
      <c r="B364" s="96"/>
      <c r="C364" s="86"/>
      <c r="D364" s="54">
        <f t="shared" si="1"/>
        <v>0</v>
      </c>
      <c r="E364" s="55">
        <f t="shared" si="2"/>
        <v>0</v>
      </c>
      <c r="F364" s="56"/>
      <c r="G364" s="57">
        <f t="shared" si="3"/>
        <v>0</v>
      </c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  <c r="AE364" s="58"/>
      <c r="AF364" s="58"/>
    </row>
    <row r="365">
      <c r="A365" s="87"/>
      <c r="B365" s="96"/>
      <c r="C365" s="86"/>
      <c r="D365" s="54">
        <f t="shared" si="1"/>
        <v>0</v>
      </c>
      <c r="E365" s="55">
        <f t="shared" si="2"/>
        <v>0</v>
      </c>
      <c r="F365" s="56"/>
      <c r="G365" s="57">
        <f t="shared" si="3"/>
        <v>0</v>
      </c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  <c r="AE365" s="58"/>
      <c r="AF365" s="58"/>
    </row>
    <row r="366">
      <c r="A366" s="87"/>
      <c r="B366" s="96"/>
      <c r="C366" s="86"/>
      <c r="D366" s="54">
        <f t="shared" si="1"/>
        <v>0</v>
      </c>
      <c r="E366" s="55">
        <f t="shared" si="2"/>
        <v>0</v>
      </c>
      <c r="F366" s="56"/>
      <c r="G366" s="57">
        <f t="shared" si="3"/>
        <v>0</v>
      </c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  <c r="AE366" s="58"/>
      <c r="AF366" s="58"/>
    </row>
    <row r="367">
      <c r="A367" s="87"/>
      <c r="B367" s="96"/>
      <c r="C367" s="86"/>
      <c r="D367" s="54">
        <f t="shared" si="1"/>
        <v>0</v>
      </c>
      <c r="E367" s="55">
        <f t="shared" si="2"/>
        <v>0</v>
      </c>
      <c r="F367" s="56"/>
      <c r="G367" s="57">
        <f t="shared" si="3"/>
        <v>0</v>
      </c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  <c r="AE367" s="58"/>
      <c r="AF367" s="58"/>
    </row>
    <row r="368">
      <c r="A368" s="87"/>
      <c r="B368" s="96"/>
      <c r="C368" s="86"/>
      <c r="D368" s="54">
        <f t="shared" si="1"/>
        <v>0</v>
      </c>
      <c r="E368" s="55">
        <f t="shared" si="2"/>
        <v>0</v>
      </c>
      <c r="F368" s="56"/>
      <c r="G368" s="57">
        <f t="shared" si="3"/>
        <v>0</v>
      </c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  <c r="AE368" s="58"/>
      <c r="AF368" s="58"/>
    </row>
    <row r="369">
      <c r="A369" s="87"/>
      <c r="B369" s="96"/>
      <c r="C369" s="86"/>
      <c r="D369" s="54">
        <f t="shared" si="1"/>
        <v>0</v>
      </c>
      <c r="E369" s="55">
        <f t="shared" si="2"/>
        <v>0</v>
      </c>
      <c r="F369" s="56"/>
      <c r="G369" s="57">
        <f t="shared" si="3"/>
        <v>0</v>
      </c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  <c r="AE369" s="58"/>
      <c r="AF369" s="58"/>
    </row>
    <row r="370">
      <c r="A370" s="87"/>
      <c r="B370" s="96"/>
      <c r="C370" s="86"/>
      <c r="D370" s="54">
        <f t="shared" si="1"/>
        <v>0</v>
      </c>
      <c r="E370" s="55">
        <f t="shared" si="2"/>
        <v>0</v>
      </c>
      <c r="F370" s="56"/>
      <c r="G370" s="57">
        <f t="shared" si="3"/>
        <v>0</v>
      </c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  <c r="AE370" s="58"/>
      <c r="AF370" s="58"/>
    </row>
    <row r="371">
      <c r="A371" s="87"/>
      <c r="B371" s="96"/>
      <c r="C371" s="86"/>
      <c r="D371" s="54">
        <f t="shared" si="1"/>
        <v>0</v>
      </c>
      <c r="E371" s="55">
        <f t="shared" si="2"/>
        <v>0</v>
      </c>
      <c r="F371" s="56"/>
      <c r="G371" s="57">
        <f t="shared" si="3"/>
        <v>0</v>
      </c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  <c r="AE371" s="58"/>
      <c r="AF371" s="58"/>
    </row>
    <row r="372">
      <c r="A372" s="87"/>
      <c r="B372" s="96"/>
      <c r="C372" s="86"/>
      <c r="D372" s="54">
        <f t="shared" si="1"/>
        <v>0</v>
      </c>
      <c r="E372" s="55">
        <f t="shared" si="2"/>
        <v>0</v>
      </c>
      <c r="F372" s="56"/>
      <c r="G372" s="57">
        <f t="shared" si="3"/>
        <v>0</v>
      </c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  <c r="AE372" s="58"/>
      <c r="AF372" s="58"/>
    </row>
    <row r="373">
      <c r="A373" s="87"/>
      <c r="B373" s="96"/>
      <c r="C373" s="86"/>
      <c r="D373" s="54">
        <f t="shared" si="1"/>
        <v>0</v>
      </c>
      <c r="E373" s="55">
        <f t="shared" si="2"/>
        <v>0</v>
      </c>
      <c r="F373" s="56"/>
      <c r="G373" s="57">
        <f t="shared" si="3"/>
        <v>0</v>
      </c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  <c r="AE373" s="58"/>
      <c r="AF373" s="58"/>
    </row>
    <row r="374">
      <c r="A374" s="87"/>
      <c r="B374" s="96"/>
      <c r="C374" s="86"/>
      <c r="D374" s="54">
        <f t="shared" si="1"/>
        <v>0</v>
      </c>
      <c r="E374" s="55">
        <f t="shared" si="2"/>
        <v>0</v>
      </c>
      <c r="F374" s="56"/>
      <c r="G374" s="57">
        <f t="shared" si="3"/>
        <v>0</v>
      </c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  <c r="AE374" s="58"/>
      <c r="AF374" s="58"/>
    </row>
    <row r="375">
      <c r="A375" s="87"/>
      <c r="B375" s="96"/>
      <c r="C375" s="86"/>
      <c r="D375" s="54">
        <f t="shared" si="1"/>
        <v>0</v>
      </c>
      <c r="E375" s="55">
        <f t="shared" si="2"/>
        <v>0</v>
      </c>
      <c r="F375" s="56"/>
      <c r="G375" s="57">
        <f t="shared" si="3"/>
        <v>0</v>
      </c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  <c r="AE375" s="58"/>
      <c r="AF375" s="58"/>
    </row>
    <row r="376">
      <c r="A376" s="87"/>
      <c r="B376" s="96"/>
      <c r="C376" s="86"/>
      <c r="D376" s="54">
        <f t="shared" si="1"/>
        <v>0</v>
      </c>
      <c r="E376" s="55">
        <f t="shared" si="2"/>
        <v>0</v>
      </c>
      <c r="F376" s="56"/>
      <c r="G376" s="57">
        <f t="shared" si="3"/>
        <v>0</v>
      </c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  <c r="AE376" s="58"/>
      <c r="AF376" s="58"/>
    </row>
    <row r="377">
      <c r="A377" s="87"/>
      <c r="B377" s="96"/>
      <c r="C377" s="86"/>
      <c r="D377" s="54">
        <f t="shared" si="1"/>
        <v>0</v>
      </c>
      <c r="E377" s="55">
        <f t="shared" si="2"/>
        <v>0</v>
      </c>
      <c r="F377" s="56"/>
      <c r="G377" s="57">
        <f t="shared" si="3"/>
        <v>0</v>
      </c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  <c r="AE377" s="58"/>
      <c r="AF377" s="58"/>
    </row>
    <row r="378">
      <c r="A378" s="87"/>
      <c r="B378" s="96"/>
      <c r="C378" s="86"/>
      <c r="D378" s="54">
        <f t="shared" si="1"/>
        <v>0</v>
      </c>
      <c r="E378" s="55">
        <f t="shared" si="2"/>
        <v>0</v>
      </c>
      <c r="F378" s="56"/>
      <c r="G378" s="57">
        <f t="shared" si="3"/>
        <v>0</v>
      </c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  <c r="AE378" s="58"/>
      <c r="AF378" s="58"/>
    </row>
    <row r="379">
      <c r="A379" s="87"/>
      <c r="B379" s="96"/>
      <c r="C379" s="86"/>
      <c r="D379" s="54">
        <f t="shared" si="1"/>
        <v>0</v>
      </c>
      <c r="E379" s="55">
        <f t="shared" si="2"/>
        <v>0</v>
      </c>
      <c r="F379" s="56"/>
      <c r="G379" s="57">
        <f t="shared" si="3"/>
        <v>0</v>
      </c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  <c r="AE379" s="58"/>
      <c r="AF379" s="58"/>
    </row>
    <row r="380">
      <c r="A380" s="87"/>
      <c r="B380" s="96"/>
      <c r="C380" s="86"/>
      <c r="D380" s="54">
        <f t="shared" si="1"/>
        <v>0</v>
      </c>
      <c r="E380" s="55">
        <f t="shared" si="2"/>
        <v>0</v>
      </c>
      <c r="F380" s="56"/>
      <c r="G380" s="57">
        <f t="shared" si="3"/>
        <v>0</v>
      </c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  <c r="AE380" s="58"/>
      <c r="AF380" s="58"/>
    </row>
    <row r="381">
      <c r="A381" s="87"/>
      <c r="B381" s="96"/>
      <c r="C381" s="86"/>
      <c r="D381" s="54">
        <f t="shared" si="1"/>
        <v>0</v>
      </c>
      <c r="E381" s="55">
        <f t="shared" si="2"/>
        <v>0</v>
      </c>
      <c r="F381" s="56"/>
      <c r="G381" s="57">
        <f t="shared" si="3"/>
        <v>0</v>
      </c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  <c r="AE381" s="58"/>
      <c r="AF381" s="58"/>
    </row>
    <row r="382">
      <c r="A382" s="87"/>
      <c r="B382" s="96"/>
      <c r="C382" s="86"/>
      <c r="D382" s="54">
        <f t="shared" si="1"/>
        <v>0</v>
      </c>
      <c r="E382" s="55">
        <f t="shared" si="2"/>
        <v>0</v>
      </c>
      <c r="F382" s="56"/>
      <c r="G382" s="57">
        <f t="shared" si="3"/>
        <v>0</v>
      </c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  <c r="AE382" s="58"/>
      <c r="AF382" s="58"/>
    </row>
    <row r="383">
      <c r="A383" s="87"/>
      <c r="B383" s="96"/>
      <c r="C383" s="86"/>
      <c r="D383" s="54">
        <f t="shared" si="1"/>
        <v>0</v>
      </c>
      <c r="E383" s="55">
        <f t="shared" si="2"/>
        <v>0</v>
      </c>
      <c r="F383" s="56"/>
      <c r="G383" s="57">
        <f t="shared" si="3"/>
        <v>0</v>
      </c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  <c r="AE383" s="58"/>
      <c r="AF383" s="58"/>
    </row>
    <row r="384">
      <c r="A384" s="87"/>
      <c r="B384" s="96"/>
      <c r="C384" s="86"/>
      <c r="D384" s="54">
        <f t="shared" si="1"/>
        <v>0</v>
      </c>
      <c r="E384" s="55">
        <f t="shared" si="2"/>
        <v>0</v>
      </c>
      <c r="F384" s="56"/>
      <c r="G384" s="57">
        <f t="shared" si="3"/>
        <v>0</v>
      </c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  <c r="AE384" s="58"/>
      <c r="AF384" s="58"/>
    </row>
    <row r="385">
      <c r="A385" s="87"/>
      <c r="B385" s="96"/>
      <c r="C385" s="86"/>
      <c r="D385" s="54">
        <f t="shared" si="1"/>
        <v>0</v>
      </c>
      <c r="E385" s="55">
        <f t="shared" si="2"/>
        <v>0</v>
      </c>
      <c r="F385" s="56"/>
      <c r="G385" s="57">
        <f t="shared" si="3"/>
        <v>0</v>
      </c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  <c r="AE385" s="58"/>
      <c r="AF385" s="58"/>
    </row>
    <row r="386">
      <c r="A386" s="87"/>
      <c r="B386" s="96"/>
      <c r="C386" s="86"/>
      <c r="D386" s="54">
        <f t="shared" si="1"/>
        <v>0</v>
      </c>
      <c r="E386" s="55">
        <f t="shared" si="2"/>
        <v>0</v>
      </c>
      <c r="F386" s="56"/>
      <c r="G386" s="57">
        <f t="shared" si="3"/>
        <v>0</v>
      </c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  <c r="AE386" s="58"/>
      <c r="AF386" s="58"/>
    </row>
    <row r="387">
      <c r="A387" s="87"/>
      <c r="B387" s="96"/>
      <c r="C387" s="86"/>
      <c r="D387" s="54">
        <f t="shared" si="1"/>
        <v>0</v>
      </c>
      <c r="E387" s="55">
        <f t="shared" si="2"/>
        <v>0</v>
      </c>
      <c r="F387" s="56"/>
      <c r="G387" s="57">
        <f t="shared" si="3"/>
        <v>0</v>
      </c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  <c r="AE387" s="58"/>
      <c r="AF387" s="58"/>
    </row>
    <row r="388">
      <c r="A388" s="87"/>
      <c r="B388" s="96"/>
      <c r="C388" s="86"/>
      <c r="D388" s="54">
        <f t="shared" si="1"/>
        <v>0</v>
      </c>
      <c r="E388" s="55">
        <f t="shared" si="2"/>
        <v>0</v>
      </c>
      <c r="F388" s="56"/>
      <c r="G388" s="57">
        <f t="shared" si="3"/>
        <v>0</v>
      </c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  <c r="AE388" s="58"/>
      <c r="AF388" s="58"/>
    </row>
    <row r="389">
      <c r="A389" s="87"/>
      <c r="B389" s="96"/>
      <c r="C389" s="86"/>
      <c r="D389" s="54">
        <f t="shared" si="1"/>
        <v>0</v>
      </c>
      <c r="E389" s="55">
        <f t="shared" si="2"/>
        <v>0</v>
      </c>
      <c r="F389" s="56"/>
      <c r="G389" s="57">
        <f t="shared" si="3"/>
        <v>0</v>
      </c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  <c r="AE389" s="58"/>
      <c r="AF389" s="58"/>
    </row>
    <row r="390">
      <c r="A390" s="87"/>
      <c r="B390" s="96"/>
      <c r="C390" s="86"/>
      <c r="D390" s="54">
        <f t="shared" si="1"/>
        <v>0</v>
      </c>
      <c r="E390" s="55">
        <f t="shared" si="2"/>
        <v>0</v>
      </c>
      <c r="F390" s="56"/>
      <c r="G390" s="57">
        <f t="shared" si="3"/>
        <v>0</v>
      </c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  <c r="AE390" s="58"/>
      <c r="AF390" s="58"/>
    </row>
    <row r="391">
      <c r="A391" s="87"/>
      <c r="B391" s="96"/>
      <c r="C391" s="86"/>
      <c r="D391" s="54">
        <f t="shared" si="1"/>
        <v>0</v>
      </c>
      <c r="E391" s="55">
        <f t="shared" si="2"/>
        <v>0</v>
      </c>
      <c r="F391" s="56"/>
      <c r="G391" s="57">
        <f t="shared" si="3"/>
        <v>0</v>
      </c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  <c r="AE391" s="58"/>
      <c r="AF391" s="58"/>
    </row>
    <row r="392">
      <c r="A392" s="87"/>
      <c r="B392" s="96"/>
      <c r="C392" s="86"/>
      <c r="D392" s="54">
        <f t="shared" si="1"/>
        <v>0</v>
      </c>
      <c r="E392" s="55">
        <f t="shared" si="2"/>
        <v>0</v>
      </c>
      <c r="F392" s="56"/>
      <c r="G392" s="57">
        <f t="shared" si="3"/>
        <v>0</v>
      </c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  <c r="AE392" s="58"/>
      <c r="AF392" s="58"/>
    </row>
    <row r="393">
      <c r="A393" s="87"/>
      <c r="B393" s="96"/>
      <c r="C393" s="86"/>
      <c r="D393" s="54">
        <f t="shared" si="1"/>
        <v>0</v>
      </c>
      <c r="E393" s="55">
        <f t="shared" si="2"/>
        <v>0</v>
      </c>
      <c r="F393" s="56"/>
      <c r="G393" s="57">
        <f t="shared" si="3"/>
        <v>0</v>
      </c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  <c r="AE393" s="58"/>
      <c r="AF393" s="58"/>
    </row>
    <row r="394">
      <c r="A394" s="87"/>
      <c r="B394" s="96"/>
      <c r="C394" s="86"/>
      <c r="D394" s="54">
        <f t="shared" si="1"/>
        <v>0</v>
      </c>
      <c r="E394" s="55">
        <f t="shared" si="2"/>
        <v>0</v>
      </c>
      <c r="F394" s="56"/>
      <c r="G394" s="57">
        <f t="shared" si="3"/>
        <v>0</v>
      </c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  <c r="AE394" s="58"/>
      <c r="AF394" s="58"/>
    </row>
    <row r="395">
      <c r="A395" s="87"/>
      <c r="B395" s="96"/>
      <c r="C395" s="86"/>
      <c r="D395" s="54">
        <f t="shared" si="1"/>
        <v>0</v>
      </c>
      <c r="E395" s="55">
        <f t="shared" si="2"/>
        <v>0</v>
      </c>
      <c r="F395" s="56"/>
      <c r="G395" s="57">
        <f t="shared" si="3"/>
        <v>0</v>
      </c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  <c r="AE395" s="58"/>
      <c r="AF395" s="58"/>
    </row>
    <row r="396">
      <c r="A396" s="87"/>
      <c r="B396" s="96"/>
      <c r="C396" s="86"/>
      <c r="D396" s="54">
        <f t="shared" si="1"/>
        <v>0</v>
      </c>
      <c r="E396" s="55">
        <f t="shared" si="2"/>
        <v>0</v>
      </c>
      <c r="F396" s="56"/>
      <c r="G396" s="57">
        <f t="shared" si="3"/>
        <v>0</v>
      </c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  <c r="AE396" s="58"/>
      <c r="AF396" s="58"/>
    </row>
    <row r="397">
      <c r="A397" s="87"/>
      <c r="B397" s="96"/>
      <c r="C397" s="86"/>
      <c r="D397" s="54">
        <f t="shared" si="1"/>
        <v>0</v>
      </c>
      <c r="E397" s="55">
        <f t="shared" si="2"/>
        <v>0</v>
      </c>
      <c r="F397" s="56"/>
      <c r="G397" s="57">
        <f t="shared" si="3"/>
        <v>0</v>
      </c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  <c r="AE397" s="58"/>
      <c r="AF397" s="58"/>
    </row>
    <row r="398">
      <c r="A398" s="87"/>
      <c r="B398" s="96"/>
      <c r="C398" s="86"/>
      <c r="D398" s="54">
        <f t="shared" si="1"/>
        <v>0</v>
      </c>
      <c r="E398" s="55">
        <f t="shared" si="2"/>
        <v>0</v>
      </c>
      <c r="F398" s="56"/>
      <c r="G398" s="57">
        <f t="shared" si="3"/>
        <v>0</v>
      </c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  <c r="AE398" s="58"/>
      <c r="AF398" s="58"/>
    </row>
    <row r="399">
      <c r="A399" s="87"/>
      <c r="B399" s="96"/>
      <c r="C399" s="86"/>
      <c r="D399" s="54">
        <f t="shared" si="1"/>
        <v>0</v>
      </c>
      <c r="E399" s="55">
        <f t="shared" si="2"/>
        <v>0</v>
      </c>
      <c r="F399" s="56"/>
      <c r="G399" s="57">
        <f t="shared" si="3"/>
        <v>0</v>
      </c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  <c r="AE399" s="58"/>
      <c r="AF399" s="58"/>
    </row>
    <row r="400">
      <c r="A400" s="87"/>
      <c r="B400" s="96"/>
      <c r="C400" s="86"/>
      <c r="D400" s="54">
        <f t="shared" si="1"/>
        <v>0</v>
      </c>
      <c r="E400" s="55">
        <f t="shared" si="2"/>
        <v>0</v>
      </c>
      <c r="F400" s="56"/>
      <c r="G400" s="57">
        <f t="shared" si="3"/>
        <v>0</v>
      </c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  <c r="AE400" s="58"/>
      <c r="AF400" s="58"/>
    </row>
    <row r="401">
      <c r="A401" s="87"/>
      <c r="B401" s="96"/>
      <c r="C401" s="86"/>
      <c r="D401" s="54">
        <f t="shared" si="1"/>
        <v>0</v>
      </c>
      <c r="E401" s="55">
        <f t="shared" si="2"/>
        <v>0</v>
      </c>
      <c r="F401" s="56"/>
      <c r="G401" s="57">
        <f t="shared" si="3"/>
        <v>0</v>
      </c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  <c r="AE401" s="58"/>
      <c r="AF401" s="58"/>
    </row>
    <row r="402">
      <c r="A402" s="87"/>
      <c r="B402" s="96"/>
      <c r="C402" s="86"/>
      <c r="D402" s="54">
        <f t="shared" si="1"/>
        <v>0</v>
      </c>
      <c r="E402" s="55">
        <f t="shared" si="2"/>
        <v>0</v>
      </c>
      <c r="F402" s="56"/>
      <c r="G402" s="57">
        <f t="shared" si="3"/>
        <v>0</v>
      </c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  <c r="AE402" s="58"/>
      <c r="AF402" s="58"/>
    </row>
    <row r="403">
      <c r="A403" s="87"/>
      <c r="B403" s="96"/>
      <c r="C403" s="86"/>
      <c r="D403" s="54">
        <f t="shared" si="1"/>
        <v>0</v>
      </c>
      <c r="E403" s="55">
        <f t="shared" si="2"/>
        <v>0</v>
      </c>
      <c r="F403" s="56"/>
      <c r="G403" s="57">
        <f t="shared" si="3"/>
        <v>0</v>
      </c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  <c r="AE403" s="58"/>
      <c r="AF403" s="58"/>
    </row>
    <row r="404">
      <c r="A404" s="87"/>
      <c r="B404" s="96"/>
      <c r="C404" s="86"/>
      <c r="D404" s="54">
        <f t="shared" si="1"/>
        <v>0</v>
      </c>
      <c r="E404" s="55">
        <f t="shared" si="2"/>
        <v>0</v>
      </c>
      <c r="F404" s="56"/>
      <c r="G404" s="57">
        <f t="shared" si="3"/>
        <v>0</v>
      </c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  <c r="AE404" s="58"/>
      <c r="AF404" s="58"/>
    </row>
    <row r="405">
      <c r="A405" s="87"/>
      <c r="B405" s="96"/>
      <c r="C405" s="86"/>
      <c r="D405" s="54">
        <f t="shared" si="1"/>
        <v>0</v>
      </c>
      <c r="E405" s="55">
        <f t="shared" si="2"/>
        <v>0</v>
      </c>
      <c r="F405" s="56"/>
      <c r="G405" s="57">
        <f t="shared" si="3"/>
        <v>0</v>
      </c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  <c r="AE405" s="58"/>
      <c r="AF405" s="58"/>
    </row>
    <row r="406">
      <c r="A406" s="87"/>
      <c r="B406" s="96"/>
      <c r="C406" s="86"/>
      <c r="D406" s="54">
        <f t="shared" si="1"/>
        <v>0</v>
      </c>
      <c r="E406" s="55">
        <f t="shared" si="2"/>
        <v>0</v>
      </c>
      <c r="F406" s="56"/>
      <c r="G406" s="57">
        <f t="shared" si="3"/>
        <v>0</v>
      </c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  <c r="AE406" s="58"/>
      <c r="AF406" s="58"/>
    </row>
    <row r="407">
      <c r="A407" s="87"/>
      <c r="B407" s="96"/>
      <c r="C407" s="86"/>
      <c r="D407" s="54">
        <f t="shared" si="1"/>
        <v>0</v>
      </c>
      <c r="E407" s="55">
        <f t="shared" si="2"/>
        <v>0</v>
      </c>
      <c r="F407" s="56"/>
      <c r="G407" s="57">
        <f t="shared" si="3"/>
        <v>0</v>
      </c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  <c r="AE407" s="58"/>
      <c r="AF407" s="58"/>
    </row>
    <row r="408">
      <c r="A408" s="87"/>
      <c r="B408" s="96"/>
      <c r="C408" s="86"/>
      <c r="D408" s="54">
        <f t="shared" si="1"/>
        <v>0</v>
      </c>
      <c r="E408" s="55">
        <f t="shared" si="2"/>
        <v>0</v>
      </c>
      <c r="F408" s="56"/>
      <c r="G408" s="57">
        <f t="shared" si="3"/>
        <v>0</v>
      </c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  <c r="AE408" s="58"/>
      <c r="AF408" s="58"/>
    </row>
    <row r="409">
      <c r="A409" s="87"/>
      <c r="B409" s="96"/>
      <c r="C409" s="86"/>
      <c r="D409" s="54">
        <f t="shared" si="1"/>
        <v>0</v>
      </c>
      <c r="E409" s="55">
        <f t="shared" si="2"/>
        <v>0</v>
      </c>
      <c r="F409" s="56"/>
      <c r="G409" s="57">
        <f t="shared" si="3"/>
        <v>0</v>
      </c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  <c r="AE409" s="58"/>
      <c r="AF409" s="58"/>
    </row>
    <row r="410">
      <c r="A410" s="87"/>
      <c r="B410" s="96"/>
      <c r="C410" s="86"/>
      <c r="D410" s="54">
        <f t="shared" si="1"/>
        <v>0</v>
      </c>
      <c r="E410" s="55">
        <f t="shared" si="2"/>
        <v>0</v>
      </c>
      <c r="F410" s="56"/>
      <c r="G410" s="57">
        <f t="shared" si="3"/>
        <v>0</v>
      </c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  <c r="AE410" s="58"/>
      <c r="AF410" s="58"/>
    </row>
    <row r="411">
      <c r="A411" s="87"/>
      <c r="B411" s="96"/>
      <c r="C411" s="86"/>
      <c r="D411" s="54">
        <f t="shared" si="1"/>
        <v>0</v>
      </c>
      <c r="E411" s="55">
        <f t="shared" si="2"/>
        <v>0</v>
      </c>
      <c r="F411" s="56"/>
      <c r="G411" s="57">
        <f t="shared" si="3"/>
        <v>0</v>
      </c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  <c r="AE411" s="58"/>
      <c r="AF411" s="58"/>
    </row>
    <row r="412">
      <c r="A412" s="87"/>
      <c r="B412" s="96"/>
      <c r="C412" s="86"/>
      <c r="D412" s="54">
        <f t="shared" si="1"/>
        <v>0</v>
      </c>
      <c r="E412" s="55">
        <f t="shared" si="2"/>
        <v>0</v>
      </c>
      <c r="F412" s="56"/>
      <c r="G412" s="57">
        <f t="shared" si="3"/>
        <v>0</v>
      </c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  <c r="AE412" s="58"/>
      <c r="AF412" s="58"/>
    </row>
    <row r="413">
      <c r="A413" s="87"/>
      <c r="B413" s="96"/>
      <c r="C413" s="86"/>
      <c r="D413" s="54">
        <f t="shared" si="1"/>
        <v>0</v>
      </c>
      <c r="E413" s="55">
        <f t="shared" si="2"/>
        <v>0</v>
      </c>
      <c r="F413" s="56"/>
      <c r="G413" s="57">
        <f t="shared" si="3"/>
        <v>0</v>
      </c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  <c r="AE413" s="58"/>
      <c r="AF413" s="58"/>
    </row>
    <row r="414">
      <c r="A414" s="87"/>
      <c r="B414" s="96"/>
      <c r="C414" s="86"/>
      <c r="D414" s="54">
        <f t="shared" si="1"/>
        <v>0</v>
      </c>
      <c r="E414" s="55">
        <f t="shared" si="2"/>
        <v>0</v>
      </c>
      <c r="F414" s="56"/>
      <c r="G414" s="57">
        <f t="shared" si="3"/>
        <v>0</v>
      </c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  <c r="AE414" s="58"/>
      <c r="AF414" s="58"/>
    </row>
    <row r="415">
      <c r="A415" s="87"/>
      <c r="B415" s="96"/>
      <c r="C415" s="86"/>
      <c r="D415" s="54">
        <f t="shared" si="1"/>
        <v>0</v>
      </c>
      <c r="E415" s="55">
        <f t="shared" si="2"/>
        <v>0</v>
      </c>
      <c r="F415" s="56"/>
      <c r="G415" s="57">
        <f t="shared" si="3"/>
        <v>0</v>
      </c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  <c r="AE415" s="58"/>
      <c r="AF415" s="58"/>
    </row>
    <row r="416">
      <c r="A416" s="87"/>
      <c r="B416" s="96"/>
      <c r="C416" s="86"/>
      <c r="D416" s="54">
        <f t="shared" si="1"/>
        <v>0</v>
      </c>
      <c r="E416" s="55">
        <f t="shared" si="2"/>
        <v>0</v>
      </c>
      <c r="F416" s="56"/>
      <c r="G416" s="57">
        <f t="shared" si="3"/>
        <v>0</v>
      </c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  <c r="AE416" s="58"/>
      <c r="AF416" s="58"/>
    </row>
    <row r="417">
      <c r="A417" s="87"/>
      <c r="B417" s="96"/>
      <c r="C417" s="86"/>
      <c r="D417" s="54">
        <f t="shared" si="1"/>
        <v>0</v>
      </c>
      <c r="E417" s="55">
        <f t="shared" si="2"/>
        <v>0</v>
      </c>
      <c r="F417" s="56"/>
      <c r="G417" s="57">
        <f t="shared" si="3"/>
        <v>0</v>
      </c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  <c r="AE417" s="58"/>
      <c r="AF417" s="58"/>
    </row>
    <row r="418">
      <c r="A418" s="87"/>
      <c r="B418" s="96"/>
      <c r="C418" s="86"/>
      <c r="D418" s="54">
        <f t="shared" si="1"/>
        <v>0</v>
      </c>
      <c r="E418" s="55">
        <f t="shared" si="2"/>
        <v>0</v>
      </c>
      <c r="F418" s="56"/>
      <c r="G418" s="57">
        <f t="shared" si="3"/>
        <v>0</v>
      </c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  <c r="AE418" s="58"/>
      <c r="AF418" s="58"/>
    </row>
    <row r="419">
      <c r="A419" s="87"/>
      <c r="B419" s="96"/>
      <c r="C419" s="86"/>
      <c r="D419" s="54">
        <f t="shared" si="1"/>
        <v>0</v>
      </c>
      <c r="E419" s="55">
        <f t="shared" si="2"/>
        <v>0</v>
      </c>
      <c r="F419" s="56"/>
      <c r="G419" s="57">
        <f t="shared" si="3"/>
        <v>0</v>
      </c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  <c r="AE419" s="58"/>
      <c r="AF419" s="58"/>
    </row>
    <row r="420">
      <c r="A420" s="87"/>
      <c r="B420" s="96"/>
      <c r="C420" s="86"/>
      <c r="D420" s="54">
        <f t="shared" si="1"/>
        <v>0</v>
      </c>
      <c r="E420" s="55">
        <f t="shared" si="2"/>
        <v>0</v>
      </c>
      <c r="F420" s="56"/>
      <c r="G420" s="57">
        <f t="shared" si="3"/>
        <v>0</v>
      </c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  <c r="AE420" s="58"/>
      <c r="AF420" s="58"/>
    </row>
    <row r="421">
      <c r="A421" s="87"/>
      <c r="B421" s="96"/>
      <c r="C421" s="86"/>
      <c r="D421" s="54">
        <f t="shared" si="1"/>
        <v>0</v>
      </c>
      <c r="E421" s="55">
        <f t="shared" si="2"/>
        <v>0</v>
      </c>
      <c r="F421" s="56"/>
      <c r="G421" s="57">
        <f t="shared" si="3"/>
        <v>0</v>
      </c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  <c r="AE421" s="58"/>
      <c r="AF421" s="58"/>
    </row>
    <row r="422">
      <c r="A422" s="87"/>
      <c r="B422" s="96"/>
      <c r="C422" s="86"/>
      <c r="D422" s="54">
        <f t="shared" si="1"/>
        <v>0</v>
      </c>
      <c r="E422" s="55">
        <f t="shared" si="2"/>
        <v>0</v>
      </c>
      <c r="F422" s="56"/>
      <c r="G422" s="57">
        <f t="shared" si="3"/>
        <v>0</v>
      </c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  <c r="AE422" s="58"/>
      <c r="AF422" s="58"/>
    </row>
    <row r="423">
      <c r="A423" s="87"/>
      <c r="B423" s="96"/>
      <c r="C423" s="86"/>
      <c r="D423" s="54">
        <f t="shared" si="1"/>
        <v>0</v>
      </c>
      <c r="E423" s="55">
        <f t="shared" si="2"/>
        <v>0</v>
      </c>
      <c r="F423" s="56"/>
      <c r="G423" s="57">
        <f t="shared" si="3"/>
        <v>0</v>
      </c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  <c r="AE423" s="58"/>
      <c r="AF423" s="58"/>
    </row>
    <row r="424">
      <c r="A424" s="87"/>
      <c r="B424" s="96"/>
      <c r="C424" s="86"/>
      <c r="D424" s="54">
        <f t="shared" si="1"/>
        <v>0</v>
      </c>
      <c r="E424" s="55">
        <f t="shared" si="2"/>
        <v>0</v>
      </c>
      <c r="F424" s="56"/>
      <c r="G424" s="57">
        <f t="shared" si="3"/>
        <v>0</v>
      </c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  <c r="AE424" s="58"/>
      <c r="AF424" s="58"/>
    </row>
    <row r="425">
      <c r="A425" s="87"/>
      <c r="B425" s="96"/>
      <c r="C425" s="86"/>
      <c r="D425" s="54">
        <f t="shared" si="1"/>
        <v>0</v>
      </c>
      <c r="E425" s="55">
        <f t="shared" si="2"/>
        <v>0</v>
      </c>
      <c r="F425" s="56"/>
      <c r="G425" s="57">
        <f t="shared" si="3"/>
        <v>0</v>
      </c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  <c r="AE425" s="58"/>
      <c r="AF425" s="58"/>
    </row>
    <row r="426">
      <c r="A426" s="87"/>
      <c r="B426" s="96"/>
      <c r="C426" s="86"/>
      <c r="D426" s="54">
        <f t="shared" si="1"/>
        <v>0</v>
      </c>
      <c r="E426" s="55">
        <f t="shared" si="2"/>
        <v>0</v>
      </c>
      <c r="F426" s="56"/>
      <c r="G426" s="57">
        <f t="shared" si="3"/>
        <v>0</v>
      </c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  <c r="AE426" s="58"/>
      <c r="AF426" s="58"/>
    </row>
    <row r="427">
      <c r="A427" s="87"/>
      <c r="B427" s="96"/>
      <c r="C427" s="86"/>
      <c r="D427" s="54">
        <f t="shared" si="1"/>
        <v>0</v>
      </c>
      <c r="E427" s="55">
        <f t="shared" si="2"/>
        <v>0</v>
      </c>
      <c r="F427" s="56"/>
      <c r="G427" s="57">
        <f t="shared" si="3"/>
        <v>0</v>
      </c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  <c r="AE427" s="58"/>
      <c r="AF427" s="58"/>
    </row>
    <row r="428">
      <c r="A428" s="87"/>
      <c r="B428" s="96"/>
      <c r="C428" s="86"/>
      <c r="D428" s="54">
        <f t="shared" si="1"/>
        <v>0</v>
      </c>
      <c r="E428" s="55">
        <f t="shared" si="2"/>
        <v>0</v>
      </c>
      <c r="F428" s="56"/>
      <c r="G428" s="57">
        <f t="shared" si="3"/>
        <v>0</v>
      </c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  <c r="AE428" s="58"/>
      <c r="AF428" s="58"/>
    </row>
    <row r="429">
      <c r="A429" s="87"/>
      <c r="B429" s="96"/>
      <c r="C429" s="86"/>
      <c r="D429" s="54">
        <f t="shared" si="1"/>
        <v>0</v>
      </c>
      <c r="E429" s="55">
        <f t="shared" si="2"/>
        <v>0</v>
      </c>
      <c r="F429" s="56"/>
      <c r="G429" s="57">
        <f t="shared" si="3"/>
        <v>0</v>
      </c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  <c r="AE429" s="58"/>
      <c r="AF429" s="58"/>
    </row>
    <row r="430">
      <c r="A430" s="87"/>
      <c r="B430" s="96"/>
      <c r="C430" s="86"/>
      <c r="D430" s="54">
        <f t="shared" si="1"/>
        <v>0</v>
      </c>
      <c r="E430" s="55">
        <f t="shared" si="2"/>
        <v>0</v>
      </c>
      <c r="F430" s="56"/>
      <c r="G430" s="57">
        <f t="shared" si="3"/>
        <v>0</v>
      </c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  <c r="AE430" s="58"/>
      <c r="AF430" s="58"/>
    </row>
    <row r="431">
      <c r="A431" s="87"/>
      <c r="B431" s="96"/>
      <c r="C431" s="86"/>
      <c r="D431" s="54">
        <f t="shared" si="1"/>
        <v>0</v>
      </c>
      <c r="E431" s="55">
        <f t="shared" si="2"/>
        <v>0</v>
      </c>
      <c r="F431" s="56"/>
      <c r="G431" s="57">
        <f t="shared" si="3"/>
        <v>0</v>
      </c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  <c r="AE431" s="58"/>
      <c r="AF431" s="58"/>
    </row>
    <row r="432">
      <c r="A432" s="87"/>
      <c r="B432" s="96"/>
      <c r="C432" s="86"/>
      <c r="D432" s="54">
        <f t="shared" si="1"/>
        <v>0</v>
      </c>
      <c r="E432" s="55">
        <f t="shared" si="2"/>
        <v>0</v>
      </c>
      <c r="F432" s="56"/>
      <c r="G432" s="57">
        <f t="shared" si="3"/>
        <v>0</v>
      </c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  <c r="AE432" s="58"/>
      <c r="AF432" s="58"/>
    </row>
    <row r="433">
      <c r="A433" s="87"/>
      <c r="B433" s="96"/>
      <c r="C433" s="86"/>
      <c r="D433" s="54">
        <f t="shared" si="1"/>
        <v>0</v>
      </c>
      <c r="E433" s="55">
        <f t="shared" si="2"/>
        <v>0</v>
      </c>
      <c r="F433" s="56"/>
      <c r="G433" s="57">
        <f t="shared" si="3"/>
        <v>0</v>
      </c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  <c r="AE433" s="58"/>
      <c r="AF433" s="58"/>
    </row>
    <row r="434">
      <c r="A434" s="87"/>
      <c r="B434" s="96"/>
      <c r="C434" s="86"/>
      <c r="D434" s="54">
        <f t="shared" si="1"/>
        <v>0</v>
      </c>
      <c r="E434" s="55">
        <f t="shared" si="2"/>
        <v>0</v>
      </c>
      <c r="F434" s="56"/>
      <c r="G434" s="57">
        <f t="shared" si="3"/>
        <v>0</v>
      </c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  <c r="AE434" s="58"/>
      <c r="AF434" s="58"/>
    </row>
    <row r="435">
      <c r="A435" s="87"/>
      <c r="B435" s="96"/>
      <c r="C435" s="86"/>
      <c r="D435" s="54">
        <f t="shared" si="1"/>
        <v>0</v>
      </c>
      <c r="E435" s="55">
        <f t="shared" si="2"/>
        <v>0</v>
      </c>
      <c r="F435" s="56"/>
      <c r="G435" s="57">
        <f t="shared" si="3"/>
        <v>0</v>
      </c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  <c r="AE435" s="58"/>
      <c r="AF435" s="58"/>
    </row>
    <row r="436">
      <c r="A436" s="87"/>
      <c r="B436" s="96"/>
      <c r="C436" s="86"/>
      <c r="D436" s="54">
        <f t="shared" si="1"/>
        <v>0</v>
      </c>
      <c r="E436" s="55">
        <f t="shared" si="2"/>
        <v>0</v>
      </c>
      <c r="F436" s="56"/>
      <c r="G436" s="57">
        <f t="shared" si="3"/>
        <v>0</v>
      </c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  <c r="AE436" s="58"/>
      <c r="AF436" s="58"/>
    </row>
    <row r="437">
      <c r="A437" s="87"/>
      <c r="B437" s="96"/>
      <c r="C437" s="86"/>
      <c r="D437" s="54">
        <f t="shared" si="1"/>
        <v>0</v>
      </c>
      <c r="E437" s="55">
        <f t="shared" si="2"/>
        <v>0</v>
      </c>
      <c r="F437" s="56"/>
      <c r="G437" s="57">
        <f t="shared" si="3"/>
        <v>0</v>
      </c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  <c r="AE437" s="58"/>
      <c r="AF437" s="58"/>
    </row>
    <row r="438">
      <c r="A438" s="87"/>
      <c r="B438" s="96"/>
      <c r="C438" s="86"/>
      <c r="D438" s="54">
        <f t="shared" si="1"/>
        <v>0</v>
      </c>
      <c r="E438" s="55">
        <f t="shared" si="2"/>
        <v>0</v>
      </c>
      <c r="F438" s="56"/>
      <c r="G438" s="57">
        <f t="shared" si="3"/>
        <v>0</v>
      </c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  <c r="AE438" s="58"/>
      <c r="AF438" s="58"/>
    </row>
    <row r="439">
      <c r="A439" s="87"/>
      <c r="B439" s="96"/>
      <c r="C439" s="86"/>
      <c r="D439" s="54">
        <f t="shared" si="1"/>
        <v>0</v>
      </c>
      <c r="E439" s="55">
        <f t="shared" si="2"/>
        <v>0</v>
      </c>
      <c r="F439" s="56"/>
      <c r="G439" s="57">
        <f t="shared" si="3"/>
        <v>0</v>
      </c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  <c r="AE439" s="58"/>
      <c r="AF439" s="58"/>
    </row>
    <row r="440">
      <c r="A440" s="87"/>
      <c r="B440" s="96"/>
      <c r="C440" s="86"/>
      <c r="D440" s="54">
        <f t="shared" si="1"/>
        <v>0</v>
      </c>
      <c r="E440" s="55">
        <f t="shared" si="2"/>
        <v>0</v>
      </c>
      <c r="F440" s="56"/>
      <c r="G440" s="57">
        <f t="shared" si="3"/>
        <v>0</v>
      </c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  <c r="AE440" s="58"/>
      <c r="AF440" s="58"/>
    </row>
    <row r="441">
      <c r="A441" s="87"/>
      <c r="B441" s="96"/>
      <c r="C441" s="86"/>
      <c r="D441" s="54">
        <f t="shared" si="1"/>
        <v>0</v>
      </c>
      <c r="E441" s="55">
        <f t="shared" si="2"/>
        <v>0</v>
      </c>
      <c r="F441" s="56"/>
      <c r="G441" s="57">
        <f t="shared" si="3"/>
        <v>0</v>
      </c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  <c r="AE441" s="58"/>
      <c r="AF441" s="58"/>
    </row>
    <row r="442">
      <c r="A442" s="87"/>
      <c r="B442" s="96"/>
      <c r="C442" s="86"/>
      <c r="D442" s="54">
        <f t="shared" si="1"/>
        <v>0</v>
      </c>
      <c r="E442" s="55">
        <f t="shared" si="2"/>
        <v>0</v>
      </c>
      <c r="F442" s="56"/>
      <c r="G442" s="57">
        <f t="shared" si="3"/>
        <v>0</v>
      </c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  <c r="AE442" s="58"/>
      <c r="AF442" s="58"/>
    </row>
    <row r="443">
      <c r="A443" s="87"/>
      <c r="B443" s="96"/>
      <c r="C443" s="86"/>
      <c r="D443" s="54">
        <f t="shared" si="1"/>
        <v>0</v>
      </c>
      <c r="E443" s="55">
        <f t="shared" si="2"/>
        <v>0</v>
      </c>
      <c r="F443" s="56"/>
      <c r="G443" s="57">
        <f t="shared" si="3"/>
        <v>0</v>
      </c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  <c r="AE443" s="58"/>
      <c r="AF443" s="58"/>
    </row>
    <row r="444">
      <c r="A444" s="87"/>
      <c r="B444" s="96"/>
      <c r="C444" s="86"/>
      <c r="D444" s="54">
        <f t="shared" si="1"/>
        <v>0</v>
      </c>
      <c r="E444" s="55">
        <f t="shared" si="2"/>
        <v>0</v>
      </c>
      <c r="F444" s="56"/>
      <c r="G444" s="57">
        <f t="shared" si="3"/>
        <v>0</v>
      </c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  <c r="AE444" s="58"/>
      <c r="AF444" s="58"/>
    </row>
    <row r="445">
      <c r="A445" s="87"/>
      <c r="B445" s="96"/>
      <c r="C445" s="86"/>
      <c r="D445" s="54">
        <f t="shared" si="1"/>
        <v>0</v>
      </c>
      <c r="E445" s="55">
        <f t="shared" si="2"/>
        <v>0</v>
      </c>
      <c r="F445" s="56"/>
      <c r="G445" s="57">
        <f t="shared" si="3"/>
        <v>0</v>
      </c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  <c r="AE445" s="58"/>
      <c r="AF445" s="58"/>
    </row>
    <row r="446">
      <c r="A446" s="87"/>
      <c r="B446" s="96"/>
      <c r="C446" s="86"/>
      <c r="D446" s="54">
        <f t="shared" si="1"/>
        <v>0</v>
      </c>
      <c r="E446" s="55">
        <f t="shared" si="2"/>
        <v>0</v>
      </c>
      <c r="F446" s="56"/>
      <c r="G446" s="57">
        <f t="shared" si="3"/>
        <v>0</v>
      </c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  <c r="AE446" s="58"/>
      <c r="AF446" s="58"/>
    </row>
    <row r="447">
      <c r="A447" s="87"/>
      <c r="B447" s="96"/>
      <c r="C447" s="86"/>
      <c r="D447" s="54">
        <f t="shared" si="1"/>
        <v>0</v>
      </c>
      <c r="E447" s="55">
        <f t="shared" si="2"/>
        <v>0</v>
      </c>
      <c r="F447" s="56"/>
      <c r="G447" s="57">
        <f t="shared" si="3"/>
        <v>0</v>
      </c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  <c r="AE447" s="58"/>
      <c r="AF447" s="58"/>
    </row>
    <row r="448">
      <c r="A448" s="87"/>
      <c r="B448" s="96"/>
      <c r="C448" s="86"/>
      <c r="D448" s="54">
        <f t="shared" si="1"/>
        <v>0</v>
      </c>
      <c r="E448" s="55">
        <f t="shared" si="2"/>
        <v>0</v>
      </c>
      <c r="F448" s="56"/>
      <c r="G448" s="57">
        <f t="shared" si="3"/>
        <v>0</v>
      </c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  <c r="AE448" s="58"/>
      <c r="AF448" s="58"/>
    </row>
    <row r="449">
      <c r="A449" s="87"/>
      <c r="B449" s="96"/>
      <c r="C449" s="86"/>
      <c r="D449" s="54">
        <f t="shared" si="1"/>
        <v>0</v>
      </c>
      <c r="E449" s="55">
        <f t="shared" si="2"/>
        <v>0</v>
      </c>
      <c r="F449" s="56"/>
      <c r="G449" s="57">
        <f t="shared" si="3"/>
        <v>0</v>
      </c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  <c r="AE449" s="58"/>
      <c r="AF449" s="58"/>
    </row>
    <row r="450">
      <c r="A450" s="87"/>
      <c r="B450" s="96"/>
      <c r="C450" s="86"/>
      <c r="D450" s="54">
        <f t="shared" si="1"/>
        <v>0</v>
      </c>
      <c r="E450" s="55">
        <f t="shared" si="2"/>
        <v>0</v>
      </c>
      <c r="F450" s="56"/>
      <c r="G450" s="57">
        <f t="shared" si="3"/>
        <v>0</v>
      </c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  <c r="AE450" s="58"/>
      <c r="AF450" s="58"/>
    </row>
    <row r="451">
      <c r="A451" s="87"/>
      <c r="B451" s="96"/>
      <c r="C451" s="86"/>
      <c r="D451" s="54">
        <f t="shared" si="1"/>
        <v>0</v>
      </c>
      <c r="E451" s="55">
        <f t="shared" si="2"/>
        <v>0</v>
      </c>
      <c r="F451" s="56"/>
      <c r="G451" s="57">
        <f t="shared" si="3"/>
        <v>0</v>
      </c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  <c r="AE451" s="58"/>
      <c r="AF451" s="58"/>
    </row>
    <row r="452">
      <c r="A452" s="87"/>
      <c r="B452" s="96"/>
      <c r="C452" s="86"/>
      <c r="D452" s="54">
        <f t="shared" si="1"/>
        <v>0</v>
      </c>
      <c r="E452" s="55">
        <f t="shared" si="2"/>
        <v>0</v>
      </c>
      <c r="F452" s="56"/>
      <c r="G452" s="57">
        <f t="shared" si="3"/>
        <v>0</v>
      </c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  <c r="AE452" s="58"/>
      <c r="AF452" s="58"/>
    </row>
    <row r="453">
      <c r="A453" s="87"/>
      <c r="B453" s="96"/>
      <c r="C453" s="86"/>
      <c r="D453" s="54">
        <f t="shared" si="1"/>
        <v>0</v>
      </c>
      <c r="E453" s="55">
        <f t="shared" si="2"/>
        <v>0</v>
      </c>
      <c r="F453" s="56"/>
      <c r="G453" s="57">
        <f t="shared" si="3"/>
        <v>0</v>
      </c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  <c r="AE453" s="58"/>
      <c r="AF453" s="58"/>
    </row>
    <row r="454">
      <c r="A454" s="87"/>
      <c r="B454" s="96"/>
      <c r="C454" s="86"/>
      <c r="D454" s="54">
        <f t="shared" si="1"/>
        <v>0</v>
      </c>
      <c r="E454" s="55">
        <f t="shared" si="2"/>
        <v>0</v>
      </c>
      <c r="F454" s="56"/>
      <c r="G454" s="57">
        <f t="shared" si="3"/>
        <v>0</v>
      </c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  <c r="AE454" s="58"/>
      <c r="AF454" s="58"/>
    </row>
    <row r="455">
      <c r="A455" s="87"/>
      <c r="B455" s="96"/>
      <c r="C455" s="86"/>
      <c r="D455" s="54">
        <f t="shared" si="1"/>
        <v>0</v>
      </c>
      <c r="E455" s="55">
        <f t="shared" si="2"/>
        <v>0</v>
      </c>
      <c r="F455" s="56"/>
      <c r="G455" s="57">
        <f t="shared" si="3"/>
        <v>0</v>
      </c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  <c r="AE455" s="58"/>
      <c r="AF455" s="58"/>
    </row>
    <row r="456">
      <c r="A456" s="87"/>
      <c r="B456" s="96"/>
      <c r="C456" s="86"/>
      <c r="D456" s="54">
        <f t="shared" si="1"/>
        <v>0</v>
      </c>
      <c r="E456" s="55">
        <f t="shared" si="2"/>
        <v>0</v>
      </c>
      <c r="F456" s="56"/>
      <c r="G456" s="57">
        <f t="shared" si="3"/>
        <v>0</v>
      </c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  <c r="AE456" s="58"/>
      <c r="AF456" s="58"/>
    </row>
    <row r="457">
      <c r="A457" s="87"/>
      <c r="B457" s="96"/>
      <c r="C457" s="86"/>
      <c r="D457" s="54">
        <f t="shared" si="1"/>
        <v>0</v>
      </c>
      <c r="E457" s="55">
        <f t="shared" si="2"/>
        <v>0</v>
      </c>
      <c r="F457" s="56"/>
      <c r="G457" s="57">
        <f t="shared" si="3"/>
        <v>0</v>
      </c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  <c r="AE457" s="58"/>
      <c r="AF457" s="58"/>
    </row>
    <row r="458">
      <c r="A458" s="87"/>
      <c r="B458" s="96"/>
      <c r="C458" s="86"/>
      <c r="D458" s="54">
        <f t="shared" si="1"/>
        <v>0</v>
      </c>
      <c r="E458" s="55">
        <f t="shared" si="2"/>
        <v>0</v>
      </c>
      <c r="F458" s="56"/>
      <c r="G458" s="57">
        <f t="shared" si="3"/>
        <v>0</v>
      </c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  <c r="AE458" s="58"/>
      <c r="AF458" s="58"/>
    </row>
    <row r="459">
      <c r="A459" s="87"/>
      <c r="B459" s="96"/>
      <c r="C459" s="86"/>
      <c r="D459" s="54">
        <f t="shared" si="1"/>
        <v>0</v>
      </c>
      <c r="E459" s="55">
        <f t="shared" si="2"/>
        <v>0</v>
      </c>
      <c r="F459" s="56"/>
      <c r="G459" s="57">
        <f t="shared" si="3"/>
        <v>0</v>
      </c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  <c r="AE459" s="58"/>
      <c r="AF459" s="58"/>
    </row>
    <row r="460">
      <c r="A460" s="87"/>
      <c r="B460" s="96"/>
      <c r="C460" s="86"/>
      <c r="D460" s="54">
        <f t="shared" si="1"/>
        <v>0</v>
      </c>
      <c r="E460" s="55">
        <f t="shared" si="2"/>
        <v>0</v>
      </c>
      <c r="F460" s="56"/>
      <c r="G460" s="57">
        <f t="shared" si="3"/>
        <v>0</v>
      </c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  <c r="AE460" s="58"/>
      <c r="AF460" s="58"/>
    </row>
    <row r="461">
      <c r="A461" s="87"/>
      <c r="B461" s="96"/>
      <c r="C461" s="86"/>
      <c r="D461" s="54">
        <f t="shared" si="1"/>
        <v>0</v>
      </c>
      <c r="E461" s="55">
        <f t="shared" si="2"/>
        <v>0</v>
      </c>
      <c r="F461" s="56"/>
      <c r="G461" s="57">
        <f t="shared" si="3"/>
        <v>0</v>
      </c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  <c r="AE461" s="58"/>
      <c r="AF461" s="58"/>
    </row>
    <row r="462">
      <c r="A462" s="87"/>
      <c r="B462" s="96"/>
      <c r="C462" s="86"/>
      <c r="D462" s="54">
        <f t="shared" si="1"/>
        <v>0</v>
      </c>
      <c r="E462" s="55">
        <f t="shared" si="2"/>
        <v>0</v>
      </c>
      <c r="F462" s="56"/>
      <c r="G462" s="57">
        <f t="shared" si="3"/>
        <v>0</v>
      </c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  <c r="AE462" s="58"/>
      <c r="AF462" s="58"/>
    </row>
    <row r="463">
      <c r="A463" s="87"/>
      <c r="B463" s="96"/>
      <c r="C463" s="86"/>
      <c r="D463" s="54">
        <f t="shared" si="1"/>
        <v>0</v>
      </c>
      <c r="E463" s="55">
        <f t="shared" si="2"/>
        <v>0</v>
      </c>
      <c r="F463" s="56"/>
      <c r="G463" s="57">
        <f t="shared" si="3"/>
        <v>0</v>
      </c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  <c r="AE463" s="58"/>
      <c r="AF463" s="58"/>
    </row>
    <row r="464">
      <c r="A464" s="87"/>
      <c r="B464" s="96"/>
      <c r="C464" s="86"/>
      <c r="D464" s="54">
        <f t="shared" si="1"/>
        <v>0</v>
      </c>
      <c r="E464" s="55">
        <f t="shared" si="2"/>
        <v>0</v>
      </c>
      <c r="F464" s="56"/>
      <c r="G464" s="57">
        <f t="shared" si="3"/>
        <v>0</v>
      </c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  <c r="AE464" s="58"/>
      <c r="AF464" s="58"/>
    </row>
    <row r="465">
      <c r="A465" s="87"/>
      <c r="B465" s="96"/>
      <c r="C465" s="86"/>
      <c r="D465" s="54">
        <f t="shared" si="1"/>
        <v>0</v>
      </c>
      <c r="E465" s="55">
        <f t="shared" si="2"/>
        <v>0</v>
      </c>
      <c r="F465" s="56"/>
      <c r="G465" s="57">
        <f t="shared" si="3"/>
        <v>0</v>
      </c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  <c r="AE465" s="58"/>
      <c r="AF465" s="58"/>
    </row>
    <row r="466">
      <c r="A466" s="87"/>
      <c r="B466" s="96"/>
      <c r="C466" s="86"/>
      <c r="D466" s="54">
        <f t="shared" si="1"/>
        <v>0</v>
      </c>
      <c r="E466" s="55">
        <f t="shared" si="2"/>
        <v>0</v>
      </c>
      <c r="F466" s="56"/>
      <c r="G466" s="57">
        <f t="shared" si="3"/>
        <v>0</v>
      </c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  <c r="AE466" s="58"/>
      <c r="AF466" s="58"/>
    </row>
    <row r="467">
      <c r="A467" s="87"/>
      <c r="B467" s="96"/>
      <c r="C467" s="86"/>
      <c r="D467" s="54">
        <f t="shared" si="1"/>
        <v>0</v>
      </c>
      <c r="E467" s="55">
        <f t="shared" si="2"/>
        <v>0</v>
      </c>
      <c r="F467" s="56"/>
      <c r="G467" s="57">
        <f t="shared" si="3"/>
        <v>0</v>
      </c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  <c r="AE467" s="58"/>
      <c r="AF467" s="58"/>
    </row>
    <row r="468">
      <c r="A468" s="87"/>
      <c r="B468" s="96"/>
      <c r="C468" s="86"/>
      <c r="D468" s="54">
        <f t="shared" si="1"/>
        <v>0</v>
      </c>
      <c r="E468" s="55">
        <f t="shared" si="2"/>
        <v>0</v>
      </c>
      <c r="F468" s="56"/>
      <c r="G468" s="57">
        <f t="shared" si="3"/>
        <v>0</v>
      </c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  <c r="AE468" s="58"/>
      <c r="AF468" s="58"/>
    </row>
    <row r="469">
      <c r="A469" s="87"/>
      <c r="B469" s="96"/>
      <c r="C469" s="86"/>
      <c r="D469" s="54">
        <f t="shared" si="1"/>
        <v>0</v>
      </c>
      <c r="E469" s="55">
        <f t="shared" si="2"/>
        <v>0</v>
      </c>
      <c r="F469" s="56"/>
      <c r="G469" s="57">
        <f t="shared" si="3"/>
        <v>0</v>
      </c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  <c r="AE469" s="58"/>
      <c r="AF469" s="58"/>
    </row>
    <row r="470">
      <c r="A470" s="87"/>
      <c r="B470" s="96"/>
      <c r="C470" s="86"/>
      <c r="D470" s="54">
        <f t="shared" si="1"/>
        <v>0</v>
      </c>
      <c r="E470" s="55">
        <f t="shared" si="2"/>
        <v>0</v>
      </c>
      <c r="F470" s="56"/>
      <c r="G470" s="57">
        <f t="shared" si="3"/>
        <v>0</v>
      </c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  <c r="AE470" s="58"/>
      <c r="AF470" s="58"/>
    </row>
    <row r="471">
      <c r="A471" s="87"/>
      <c r="B471" s="96"/>
      <c r="C471" s="86"/>
      <c r="D471" s="54">
        <f t="shared" si="1"/>
        <v>0</v>
      </c>
      <c r="E471" s="55">
        <f t="shared" si="2"/>
        <v>0</v>
      </c>
      <c r="F471" s="56"/>
      <c r="G471" s="57">
        <f t="shared" si="3"/>
        <v>0</v>
      </c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  <c r="AE471" s="58"/>
      <c r="AF471" s="58"/>
    </row>
    <row r="472">
      <c r="A472" s="87"/>
      <c r="B472" s="96"/>
      <c r="C472" s="86"/>
      <c r="D472" s="54">
        <f t="shared" si="1"/>
        <v>0</v>
      </c>
      <c r="E472" s="55">
        <f t="shared" si="2"/>
        <v>0</v>
      </c>
      <c r="F472" s="56"/>
      <c r="G472" s="57">
        <f t="shared" si="3"/>
        <v>0</v>
      </c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  <c r="AE472" s="58"/>
      <c r="AF472" s="58"/>
    </row>
    <row r="473">
      <c r="A473" s="87"/>
      <c r="B473" s="96"/>
      <c r="C473" s="86"/>
      <c r="D473" s="54">
        <f t="shared" si="1"/>
        <v>0</v>
      </c>
      <c r="E473" s="55">
        <f t="shared" si="2"/>
        <v>0</v>
      </c>
      <c r="F473" s="56"/>
      <c r="G473" s="57">
        <f t="shared" si="3"/>
        <v>0</v>
      </c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  <c r="AE473" s="58"/>
      <c r="AF473" s="58"/>
    </row>
    <row r="474">
      <c r="A474" s="87"/>
      <c r="B474" s="96"/>
      <c r="C474" s="86"/>
      <c r="D474" s="54">
        <f t="shared" si="1"/>
        <v>0</v>
      </c>
      <c r="E474" s="55">
        <f t="shared" si="2"/>
        <v>0</v>
      </c>
      <c r="F474" s="56"/>
      <c r="G474" s="57">
        <f t="shared" si="3"/>
        <v>0</v>
      </c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  <c r="AE474" s="58"/>
      <c r="AF474" s="58"/>
    </row>
    <row r="475">
      <c r="A475" s="87"/>
      <c r="B475" s="96"/>
      <c r="C475" s="86"/>
      <c r="D475" s="54">
        <f t="shared" si="1"/>
        <v>0</v>
      </c>
      <c r="E475" s="55">
        <f t="shared" si="2"/>
        <v>0</v>
      </c>
      <c r="F475" s="56"/>
      <c r="G475" s="57">
        <f t="shared" si="3"/>
        <v>0</v>
      </c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  <c r="AE475" s="58"/>
      <c r="AF475" s="58"/>
    </row>
    <row r="476">
      <c r="A476" s="87"/>
      <c r="B476" s="96"/>
      <c r="C476" s="86"/>
      <c r="D476" s="54">
        <f t="shared" si="1"/>
        <v>0</v>
      </c>
      <c r="E476" s="55">
        <f t="shared" si="2"/>
        <v>0</v>
      </c>
      <c r="F476" s="56"/>
      <c r="G476" s="57">
        <f t="shared" si="3"/>
        <v>0</v>
      </c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  <c r="AE476" s="58"/>
      <c r="AF476" s="58"/>
    </row>
    <row r="477">
      <c r="A477" s="87"/>
      <c r="B477" s="96"/>
      <c r="C477" s="86"/>
      <c r="D477" s="54">
        <f t="shared" si="1"/>
        <v>0</v>
      </c>
      <c r="E477" s="55">
        <f t="shared" si="2"/>
        <v>0</v>
      </c>
      <c r="F477" s="56"/>
      <c r="G477" s="57">
        <f t="shared" si="3"/>
        <v>0</v>
      </c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  <c r="AE477" s="58"/>
      <c r="AF477" s="58"/>
    </row>
    <row r="478">
      <c r="A478" s="87"/>
      <c r="B478" s="96"/>
      <c r="C478" s="86"/>
      <c r="D478" s="54">
        <f t="shared" si="1"/>
        <v>0</v>
      </c>
      <c r="E478" s="55">
        <f t="shared" si="2"/>
        <v>0</v>
      </c>
      <c r="F478" s="56"/>
      <c r="G478" s="57">
        <f t="shared" si="3"/>
        <v>0</v>
      </c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  <c r="AE478" s="58"/>
      <c r="AF478" s="58"/>
    </row>
    <row r="479">
      <c r="A479" s="87"/>
      <c r="B479" s="96"/>
      <c r="C479" s="86"/>
      <c r="D479" s="54">
        <f t="shared" si="1"/>
        <v>0</v>
      </c>
      <c r="E479" s="55">
        <f t="shared" si="2"/>
        <v>0</v>
      </c>
      <c r="F479" s="56"/>
      <c r="G479" s="57">
        <f t="shared" si="3"/>
        <v>0</v>
      </c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  <c r="AE479" s="58"/>
      <c r="AF479" s="58"/>
    </row>
    <row r="480">
      <c r="A480" s="87"/>
      <c r="B480" s="96"/>
      <c r="C480" s="86"/>
      <c r="D480" s="54">
        <f t="shared" si="1"/>
        <v>0</v>
      </c>
      <c r="E480" s="55">
        <f t="shared" si="2"/>
        <v>0</v>
      </c>
      <c r="F480" s="56"/>
      <c r="G480" s="57">
        <f t="shared" si="3"/>
        <v>0</v>
      </c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  <c r="AE480" s="58"/>
      <c r="AF480" s="58"/>
    </row>
    <row r="481">
      <c r="A481" s="87"/>
      <c r="B481" s="96"/>
      <c r="C481" s="86"/>
      <c r="D481" s="54">
        <f t="shared" si="1"/>
        <v>0</v>
      </c>
      <c r="E481" s="55">
        <f t="shared" si="2"/>
        <v>0</v>
      </c>
      <c r="F481" s="56"/>
      <c r="G481" s="57">
        <f t="shared" si="3"/>
        <v>0</v>
      </c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  <c r="AE481" s="58"/>
      <c r="AF481" s="58"/>
    </row>
    <row r="482">
      <c r="A482" s="87"/>
      <c r="B482" s="96"/>
      <c r="C482" s="86"/>
      <c r="D482" s="54">
        <f t="shared" si="1"/>
        <v>0</v>
      </c>
      <c r="E482" s="55">
        <f t="shared" si="2"/>
        <v>0</v>
      </c>
      <c r="F482" s="56"/>
      <c r="G482" s="57">
        <f t="shared" si="3"/>
        <v>0</v>
      </c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  <c r="AE482" s="58"/>
      <c r="AF482" s="58"/>
    </row>
    <row r="483">
      <c r="A483" s="87"/>
      <c r="B483" s="96"/>
      <c r="C483" s="86"/>
      <c r="D483" s="54">
        <f t="shared" si="1"/>
        <v>0</v>
      </c>
      <c r="E483" s="55">
        <f t="shared" si="2"/>
        <v>0</v>
      </c>
      <c r="F483" s="56"/>
      <c r="G483" s="57">
        <f t="shared" si="3"/>
        <v>0</v>
      </c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  <c r="AE483" s="58"/>
      <c r="AF483" s="58"/>
    </row>
    <row r="484">
      <c r="A484" s="87"/>
      <c r="B484" s="96"/>
      <c r="C484" s="86"/>
      <c r="D484" s="54">
        <f t="shared" si="1"/>
        <v>0</v>
      </c>
      <c r="E484" s="55">
        <f t="shared" si="2"/>
        <v>0</v>
      </c>
      <c r="F484" s="56"/>
      <c r="G484" s="57">
        <f t="shared" si="3"/>
        <v>0</v>
      </c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  <c r="AE484" s="58"/>
      <c r="AF484" s="58"/>
    </row>
    <row r="485">
      <c r="A485" s="87"/>
      <c r="B485" s="96"/>
      <c r="C485" s="86"/>
      <c r="D485" s="54">
        <f t="shared" si="1"/>
        <v>0</v>
      </c>
      <c r="E485" s="55">
        <f t="shared" si="2"/>
        <v>0</v>
      </c>
      <c r="F485" s="56"/>
      <c r="G485" s="57">
        <f t="shared" si="3"/>
        <v>0</v>
      </c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  <c r="AE485" s="58"/>
      <c r="AF485" s="58"/>
    </row>
    <row r="486">
      <c r="A486" s="87"/>
      <c r="B486" s="96"/>
      <c r="C486" s="86"/>
      <c r="D486" s="54">
        <f t="shared" si="1"/>
        <v>0</v>
      </c>
      <c r="E486" s="55">
        <f t="shared" si="2"/>
        <v>0</v>
      </c>
      <c r="F486" s="56"/>
      <c r="G486" s="57">
        <f t="shared" si="3"/>
        <v>0</v>
      </c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  <c r="AE486" s="58"/>
      <c r="AF486" s="58"/>
    </row>
    <row r="487">
      <c r="A487" s="87"/>
      <c r="B487" s="96"/>
      <c r="C487" s="86"/>
      <c r="D487" s="54">
        <f t="shared" si="1"/>
        <v>0</v>
      </c>
      <c r="E487" s="55">
        <f t="shared" si="2"/>
        <v>0</v>
      </c>
      <c r="F487" s="56"/>
      <c r="G487" s="57">
        <f t="shared" si="3"/>
        <v>0</v>
      </c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  <c r="AE487" s="58"/>
      <c r="AF487" s="58"/>
    </row>
    <row r="488">
      <c r="A488" s="87"/>
      <c r="B488" s="96"/>
      <c r="C488" s="86"/>
      <c r="D488" s="54">
        <f t="shared" si="1"/>
        <v>0</v>
      </c>
      <c r="E488" s="55">
        <f t="shared" si="2"/>
        <v>0</v>
      </c>
      <c r="F488" s="56"/>
      <c r="G488" s="57">
        <f t="shared" si="3"/>
        <v>0</v>
      </c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  <c r="AE488" s="58"/>
      <c r="AF488" s="58"/>
    </row>
    <row r="489">
      <c r="A489" s="87"/>
      <c r="B489" s="96"/>
      <c r="C489" s="86"/>
      <c r="D489" s="54">
        <f t="shared" si="1"/>
        <v>0</v>
      </c>
      <c r="E489" s="55">
        <f t="shared" si="2"/>
        <v>0</v>
      </c>
      <c r="F489" s="56"/>
      <c r="G489" s="57">
        <f t="shared" si="3"/>
        <v>0</v>
      </c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  <c r="AE489" s="58"/>
      <c r="AF489" s="58"/>
    </row>
    <row r="490">
      <c r="A490" s="87"/>
      <c r="B490" s="96"/>
      <c r="C490" s="86"/>
      <c r="D490" s="54">
        <f t="shared" si="1"/>
        <v>0</v>
      </c>
      <c r="E490" s="55">
        <f t="shared" si="2"/>
        <v>0</v>
      </c>
      <c r="F490" s="56"/>
      <c r="G490" s="57">
        <f t="shared" si="3"/>
        <v>0</v>
      </c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  <c r="AE490" s="58"/>
      <c r="AF490" s="58"/>
    </row>
    <row r="491">
      <c r="A491" s="87"/>
      <c r="B491" s="96"/>
      <c r="C491" s="86"/>
      <c r="D491" s="54">
        <f t="shared" si="1"/>
        <v>0</v>
      </c>
      <c r="E491" s="55">
        <f t="shared" si="2"/>
        <v>0</v>
      </c>
      <c r="F491" s="56"/>
      <c r="G491" s="57">
        <f t="shared" si="3"/>
        <v>0</v>
      </c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  <c r="AE491" s="58"/>
      <c r="AF491" s="58"/>
    </row>
    <row r="492">
      <c r="A492" s="87"/>
      <c r="B492" s="96"/>
      <c r="C492" s="86"/>
      <c r="D492" s="54">
        <f t="shared" si="1"/>
        <v>0</v>
      </c>
      <c r="E492" s="55">
        <f t="shared" si="2"/>
        <v>0</v>
      </c>
      <c r="F492" s="56"/>
      <c r="G492" s="57">
        <f t="shared" si="3"/>
        <v>0</v>
      </c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  <c r="AE492" s="58"/>
      <c r="AF492" s="58"/>
    </row>
    <row r="493">
      <c r="A493" s="87"/>
      <c r="B493" s="96"/>
      <c r="C493" s="86"/>
      <c r="D493" s="54">
        <f t="shared" si="1"/>
        <v>0</v>
      </c>
      <c r="E493" s="55">
        <f t="shared" si="2"/>
        <v>0</v>
      </c>
      <c r="F493" s="56"/>
      <c r="G493" s="57">
        <f t="shared" si="3"/>
        <v>0</v>
      </c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  <c r="AE493" s="58"/>
      <c r="AF493" s="58"/>
    </row>
    <row r="494">
      <c r="A494" s="87"/>
      <c r="B494" s="96"/>
      <c r="C494" s="86"/>
      <c r="D494" s="54">
        <f t="shared" si="1"/>
        <v>0</v>
      </c>
      <c r="E494" s="55">
        <f t="shared" si="2"/>
        <v>0</v>
      </c>
      <c r="F494" s="56"/>
      <c r="G494" s="57">
        <f t="shared" si="3"/>
        <v>0</v>
      </c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  <c r="AE494" s="58"/>
      <c r="AF494" s="58"/>
    </row>
    <row r="495">
      <c r="A495" s="87"/>
      <c r="B495" s="96"/>
      <c r="C495" s="86"/>
      <c r="D495" s="54">
        <f t="shared" si="1"/>
        <v>0</v>
      </c>
      <c r="E495" s="55">
        <f t="shared" si="2"/>
        <v>0</v>
      </c>
      <c r="F495" s="56"/>
      <c r="G495" s="57">
        <f t="shared" si="3"/>
        <v>0</v>
      </c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  <c r="AE495" s="58"/>
      <c r="AF495" s="58"/>
    </row>
    <row r="496">
      <c r="A496" s="87"/>
      <c r="B496" s="96"/>
      <c r="C496" s="86"/>
      <c r="D496" s="54">
        <f t="shared" si="1"/>
        <v>0</v>
      </c>
      <c r="E496" s="55">
        <f t="shared" si="2"/>
        <v>0</v>
      </c>
      <c r="F496" s="56"/>
      <c r="G496" s="57">
        <f t="shared" si="3"/>
        <v>0</v>
      </c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  <c r="AE496" s="58"/>
      <c r="AF496" s="58"/>
    </row>
    <row r="497">
      <c r="A497" s="87"/>
      <c r="B497" s="96"/>
      <c r="C497" s="86"/>
      <c r="D497" s="54">
        <f t="shared" si="1"/>
        <v>0</v>
      </c>
      <c r="E497" s="55">
        <f t="shared" si="2"/>
        <v>0</v>
      </c>
      <c r="F497" s="56"/>
      <c r="G497" s="57">
        <f t="shared" si="3"/>
        <v>0</v>
      </c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  <c r="AE497" s="58"/>
      <c r="AF497" s="58"/>
    </row>
    <row r="498">
      <c r="A498" s="87"/>
      <c r="B498" s="96"/>
      <c r="C498" s="86"/>
      <c r="D498" s="54">
        <f t="shared" si="1"/>
        <v>0</v>
      </c>
      <c r="E498" s="55">
        <f t="shared" si="2"/>
        <v>0</v>
      </c>
      <c r="F498" s="56"/>
      <c r="G498" s="57">
        <f t="shared" si="3"/>
        <v>0</v>
      </c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  <c r="AE498" s="58"/>
      <c r="AF498" s="58"/>
    </row>
    <row r="499">
      <c r="A499" s="87"/>
      <c r="B499" s="96"/>
      <c r="C499" s="86"/>
      <c r="D499" s="54">
        <f t="shared" si="1"/>
        <v>0</v>
      </c>
      <c r="E499" s="55">
        <f t="shared" si="2"/>
        <v>0</v>
      </c>
      <c r="F499" s="56"/>
      <c r="G499" s="57">
        <f t="shared" si="3"/>
        <v>0</v>
      </c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  <c r="AE499" s="58"/>
      <c r="AF499" s="58"/>
    </row>
    <row r="500">
      <c r="A500" s="87"/>
      <c r="B500" s="96"/>
      <c r="C500" s="86"/>
      <c r="D500" s="54">
        <f t="shared" si="1"/>
        <v>0</v>
      </c>
      <c r="E500" s="55">
        <f t="shared" si="2"/>
        <v>0</v>
      </c>
      <c r="F500" s="56"/>
      <c r="G500" s="57">
        <f t="shared" si="3"/>
        <v>0</v>
      </c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  <c r="AE500" s="58"/>
      <c r="AF500" s="58"/>
    </row>
    <row r="501">
      <c r="A501" s="87"/>
      <c r="B501" s="96"/>
      <c r="C501" s="86"/>
      <c r="D501" s="54">
        <f t="shared" si="1"/>
        <v>0</v>
      </c>
      <c r="E501" s="55">
        <f t="shared" si="2"/>
        <v>0</v>
      </c>
      <c r="F501" s="56"/>
      <c r="G501" s="57">
        <f t="shared" si="3"/>
        <v>0</v>
      </c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  <c r="AE501" s="58"/>
      <c r="AF501" s="58"/>
    </row>
    <row r="502">
      <c r="A502" s="87"/>
      <c r="B502" s="96"/>
      <c r="C502" s="86"/>
      <c r="D502" s="54">
        <f t="shared" si="1"/>
        <v>0</v>
      </c>
      <c r="E502" s="55">
        <f t="shared" si="2"/>
        <v>0</v>
      </c>
      <c r="F502" s="56"/>
      <c r="G502" s="57">
        <f t="shared" si="3"/>
        <v>0</v>
      </c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  <c r="AE502" s="58"/>
      <c r="AF502" s="58"/>
    </row>
    <row r="503">
      <c r="A503" s="87"/>
      <c r="B503" s="96"/>
      <c r="C503" s="86"/>
      <c r="D503" s="54">
        <f t="shared" si="1"/>
        <v>0</v>
      </c>
      <c r="E503" s="55">
        <f t="shared" si="2"/>
        <v>0</v>
      </c>
      <c r="F503" s="56"/>
      <c r="G503" s="57">
        <f t="shared" si="3"/>
        <v>0</v>
      </c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  <c r="AE503" s="58"/>
      <c r="AF503" s="58"/>
    </row>
    <row r="504">
      <c r="A504" s="87"/>
      <c r="B504" s="96"/>
      <c r="C504" s="86"/>
      <c r="D504" s="54">
        <f t="shared" si="1"/>
        <v>0</v>
      </c>
      <c r="E504" s="55">
        <f t="shared" si="2"/>
        <v>0</v>
      </c>
      <c r="F504" s="56"/>
      <c r="G504" s="57">
        <f t="shared" si="3"/>
        <v>0</v>
      </c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  <c r="AE504" s="58"/>
      <c r="AF504" s="58"/>
    </row>
    <row r="505">
      <c r="A505" s="87"/>
      <c r="B505" s="96"/>
      <c r="C505" s="86"/>
      <c r="D505" s="54">
        <f t="shared" si="1"/>
        <v>0</v>
      </c>
      <c r="E505" s="55">
        <f t="shared" si="2"/>
        <v>0</v>
      </c>
      <c r="F505" s="56"/>
      <c r="G505" s="57">
        <f t="shared" si="3"/>
        <v>0</v>
      </c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  <c r="AE505" s="58"/>
      <c r="AF505" s="58"/>
    </row>
    <row r="506">
      <c r="A506" s="87"/>
      <c r="B506" s="96"/>
      <c r="C506" s="86"/>
      <c r="D506" s="54">
        <f t="shared" si="1"/>
        <v>0</v>
      </c>
      <c r="E506" s="55">
        <f t="shared" si="2"/>
        <v>0</v>
      </c>
      <c r="F506" s="56"/>
      <c r="G506" s="57">
        <f t="shared" si="3"/>
        <v>0</v>
      </c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  <c r="AE506" s="58"/>
      <c r="AF506" s="58"/>
    </row>
    <row r="507">
      <c r="A507" s="87"/>
      <c r="B507" s="96"/>
      <c r="C507" s="86"/>
      <c r="D507" s="54">
        <f t="shared" si="1"/>
        <v>0</v>
      </c>
      <c r="E507" s="55">
        <f t="shared" si="2"/>
        <v>0</v>
      </c>
      <c r="F507" s="56"/>
      <c r="G507" s="57">
        <f t="shared" si="3"/>
        <v>0</v>
      </c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  <c r="AE507" s="58"/>
      <c r="AF507" s="58"/>
    </row>
    <row r="508">
      <c r="A508" s="87"/>
      <c r="B508" s="96"/>
      <c r="C508" s="86"/>
      <c r="D508" s="54">
        <f t="shared" si="1"/>
        <v>0</v>
      </c>
      <c r="E508" s="55">
        <f t="shared" si="2"/>
        <v>0</v>
      </c>
      <c r="F508" s="56"/>
      <c r="G508" s="57">
        <f t="shared" si="3"/>
        <v>0</v>
      </c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  <c r="AE508" s="58"/>
      <c r="AF508" s="58"/>
    </row>
    <row r="509">
      <c r="A509" s="87"/>
      <c r="B509" s="96"/>
      <c r="C509" s="86"/>
      <c r="D509" s="54">
        <f t="shared" si="1"/>
        <v>0</v>
      </c>
      <c r="E509" s="55">
        <f t="shared" si="2"/>
        <v>0</v>
      </c>
      <c r="F509" s="56"/>
      <c r="G509" s="57">
        <f t="shared" si="3"/>
        <v>0</v>
      </c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  <c r="AE509" s="58"/>
      <c r="AF509" s="58"/>
    </row>
    <row r="510">
      <c r="A510" s="87"/>
      <c r="B510" s="96"/>
      <c r="C510" s="86"/>
      <c r="D510" s="54">
        <f t="shared" si="1"/>
        <v>0</v>
      </c>
      <c r="E510" s="55">
        <f t="shared" si="2"/>
        <v>0</v>
      </c>
      <c r="F510" s="56"/>
      <c r="G510" s="57">
        <f t="shared" si="3"/>
        <v>0</v>
      </c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  <c r="AE510" s="58"/>
      <c r="AF510" s="58"/>
    </row>
    <row r="511">
      <c r="A511" s="87"/>
      <c r="B511" s="96"/>
      <c r="C511" s="86"/>
      <c r="D511" s="54">
        <f t="shared" si="1"/>
        <v>0</v>
      </c>
      <c r="E511" s="55">
        <f t="shared" si="2"/>
        <v>0</v>
      </c>
      <c r="F511" s="56"/>
      <c r="G511" s="57">
        <f t="shared" si="3"/>
        <v>0</v>
      </c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  <c r="AE511" s="58"/>
      <c r="AF511" s="58"/>
    </row>
    <row r="512">
      <c r="A512" s="87"/>
      <c r="B512" s="96"/>
      <c r="C512" s="86"/>
      <c r="D512" s="54">
        <f t="shared" si="1"/>
        <v>0</v>
      </c>
      <c r="E512" s="55">
        <f t="shared" si="2"/>
        <v>0</v>
      </c>
      <c r="F512" s="56"/>
      <c r="G512" s="57">
        <f t="shared" si="3"/>
        <v>0</v>
      </c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  <c r="AE512" s="58"/>
      <c r="AF512" s="58"/>
    </row>
    <row r="513">
      <c r="A513" s="87"/>
      <c r="B513" s="96"/>
      <c r="C513" s="86"/>
      <c r="D513" s="54">
        <f t="shared" si="1"/>
        <v>0</v>
      </c>
      <c r="E513" s="55">
        <f t="shared" si="2"/>
        <v>0</v>
      </c>
      <c r="F513" s="56"/>
      <c r="G513" s="57">
        <f t="shared" si="3"/>
        <v>0</v>
      </c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  <c r="AE513" s="58"/>
      <c r="AF513" s="58"/>
    </row>
    <row r="514">
      <c r="A514" s="87"/>
      <c r="B514" s="96"/>
      <c r="C514" s="86"/>
      <c r="D514" s="54">
        <f t="shared" si="1"/>
        <v>0</v>
      </c>
      <c r="E514" s="55">
        <f t="shared" si="2"/>
        <v>0</v>
      </c>
      <c r="F514" s="56"/>
      <c r="G514" s="57">
        <f t="shared" si="3"/>
        <v>0</v>
      </c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  <c r="AE514" s="58"/>
      <c r="AF514" s="58"/>
    </row>
    <row r="515">
      <c r="A515" s="87"/>
      <c r="B515" s="96"/>
      <c r="C515" s="86"/>
      <c r="D515" s="54">
        <f t="shared" si="1"/>
        <v>0</v>
      </c>
      <c r="E515" s="55">
        <f t="shared" si="2"/>
        <v>0</v>
      </c>
      <c r="F515" s="56"/>
      <c r="G515" s="57">
        <f t="shared" si="3"/>
        <v>0</v>
      </c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  <c r="AE515" s="58"/>
      <c r="AF515" s="58"/>
    </row>
    <row r="516">
      <c r="A516" s="87"/>
      <c r="B516" s="96"/>
      <c r="C516" s="86"/>
      <c r="D516" s="54">
        <f t="shared" si="1"/>
        <v>0</v>
      </c>
      <c r="E516" s="55">
        <f t="shared" si="2"/>
        <v>0</v>
      </c>
      <c r="F516" s="56"/>
      <c r="G516" s="57">
        <f t="shared" si="3"/>
        <v>0</v>
      </c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  <c r="AE516" s="58"/>
      <c r="AF516" s="58"/>
    </row>
    <row r="517">
      <c r="A517" s="87"/>
      <c r="B517" s="96"/>
      <c r="C517" s="86"/>
      <c r="D517" s="54">
        <f t="shared" si="1"/>
        <v>0</v>
      </c>
      <c r="E517" s="55">
        <f t="shared" si="2"/>
        <v>0</v>
      </c>
      <c r="F517" s="56"/>
      <c r="G517" s="57">
        <f t="shared" si="3"/>
        <v>0</v>
      </c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  <c r="AE517" s="58"/>
      <c r="AF517" s="58"/>
    </row>
    <row r="518">
      <c r="A518" s="87"/>
      <c r="B518" s="96"/>
      <c r="C518" s="86"/>
      <c r="D518" s="54">
        <f t="shared" si="1"/>
        <v>0</v>
      </c>
      <c r="E518" s="55">
        <f t="shared" si="2"/>
        <v>0</v>
      </c>
      <c r="F518" s="56"/>
      <c r="G518" s="57">
        <f t="shared" si="3"/>
        <v>0</v>
      </c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  <c r="AE518" s="58"/>
      <c r="AF518" s="58"/>
    </row>
    <row r="519">
      <c r="A519" s="87"/>
      <c r="B519" s="96"/>
      <c r="C519" s="86"/>
      <c r="D519" s="54">
        <f t="shared" si="1"/>
        <v>0</v>
      </c>
      <c r="E519" s="55">
        <f t="shared" si="2"/>
        <v>0</v>
      </c>
      <c r="F519" s="56"/>
      <c r="G519" s="57">
        <f t="shared" si="3"/>
        <v>0</v>
      </c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  <c r="AE519" s="58"/>
      <c r="AF519" s="58"/>
    </row>
    <row r="520">
      <c r="A520" s="87"/>
      <c r="B520" s="96"/>
      <c r="C520" s="86"/>
      <c r="D520" s="54">
        <f t="shared" si="1"/>
        <v>0</v>
      </c>
      <c r="E520" s="55">
        <f t="shared" si="2"/>
        <v>0</v>
      </c>
      <c r="F520" s="56"/>
      <c r="G520" s="57">
        <f t="shared" si="3"/>
        <v>0</v>
      </c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  <c r="AE520" s="58"/>
      <c r="AF520" s="58"/>
    </row>
    <row r="521">
      <c r="A521" s="87"/>
      <c r="B521" s="96"/>
      <c r="C521" s="86"/>
      <c r="D521" s="54">
        <f t="shared" si="1"/>
        <v>0</v>
      </c>
      <c r="E521" s="55">
        <f t="shared" si="2"/>
        <v>0</v>
      </c>
      <c r="F521" s="56"/>
      <c r="G521" s="57">
        <f t="shared" si="3"/>
        <v>0</v>
      </c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  <c r="AE521" s="58"/>
      <c r="AF521" s="58"/>
    </row>
    <row r="522">
      <c r="A522" s="87"/>
      <c r="B522" s="96"/>
      <c r="C522" s="86"/>
      <c r="D522" s="54">
        <f t="shared" si="1"/>
        <v>0</v>
      </c>
      <c r="E522" s="55">
        <f t="shared" si="2"/>
        <v>0</v>
      </c>
      <c r="F522" s="56"/>
      <c r="G522" s="57">
        <f t="shared" si="3"/>
        <v>0</v>
      </c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  <c r="AE522" s="58"/>
      <c r="AF522" s="58"/>
    </row>
    <row r="523">
      <c r="A523" s="87"/>
      <c r="B523" s="96"/>
      <c r="C523" s="86"/>
      <c r="D523" s="54">
        <f t="shared" si="1"/>
        <v>0</v>
      </c>
      <c r="E523" s="55">
        <f t="shared" si="2"/>
        <v>0</v>
      </c>
      <c r="F523" s="56"/>
      <c r="G523" s="57">
        <f t="shared" si="3"/>
        <v>0</v>
      </c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  <c r="AE523" s="58"/>
      <c r="AF523" s="58"/>
    </row>
    <row r="524">
      <c r="A524" s="87"/>
      <c r="B524" s="96"/>
      <c r="C524" s="86"/>
      <c r="D524" s="54">
        <f t="shared" si="1"/>
        <v>0</v>
      </c>
      <c r="E524" s="55">
        <f t="shared" si="2"/>
        <v>0</v>
      </c>
      <c r="F524" s="56"/>
      <c r="G524" s="57">
        <f t="shared" si="3"/>
        <v>0</v>
      </c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  <c r="AE524" s="58"/>
      <c r="AF524" s="58"/>
    </row>
    <row r="525">
      <c r="A525" s="87"/>
      <c r="B525" s="96"/>
      <c r="C525" s="86"/>
      <c r="D525" s="54">
        <f t="shared" si="1"/>
        <v>0</v>
      </c>
      <c r="E525" s="55">
        <f t="shared" si="2"/>
        <v>0</v>
      </c>
      <c r="F525" s="56"/>
      <c r="G525" s="57">
        <f t="shared" si="3"/>
        <v>0</v>
      </c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  <c r="AE525" s="58"/>
      <c r="AF525" s="58"/>
    </row>
    <row r="526">
      <c r="A526" s="87"/>
      <c r="B526" s="96"/>
      <c r="C526" s="86"/>
      <c r="D526" s="54">
        <f t="shared" si="1"/>
        <v>0</v>
      </c>
      <c r="E526" s="55">
        <f t="shared" si="2"/>
        <v>0</v>
      </c>
      <c r="F526" s="56"/>
      <c r="G526" s="57">
        <f t="shared" si="3"/>
        <v>0</v>
      </c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  <c r="AE526" s="58"/>
      <c r="AF526" s="58"/>
    </row>
    <row r="527">
      <c r="A527" s="87"/>
      <c r="B527" s="96"/>
      <c r="C527" s="86"/>
      <c r="D527" s="54">
        <f t="shared" si="1"/>
        <v>0</v>
      </c>
      <c r="E527" s="55">
        <f t="shared" si="2"/>
        <v>0</v>
      </c>
      <c r="F527" s="56"/>
      <c r="G527" s="57">
        <f t="shared" si="3"/>
        <v>0</v>
      </c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  <c r="AE527" s="58"/>
      <c r="AF527" s="58"/>
    </row>
    <row r="528">
      <c r="A528" s="87"/>
      <c r="B528" s="96"/>
      <c r="C528" s="86"/>
      <c r="D528" s="54">
        <f t="shared" si="1"/>
        <v>0</v>
      </c>
      <c r="E528" s="55">
        <f t="shared" si="2"/>
        <v>0</v>
      </c>
      <c r="F528" s="56"/>
      <c r="G528" s="57">
        <f t="shared" si="3"/>
        <v>0</v>
      </c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  <c r="AE528" s="58"/>
      <c r="AF528" s="58"/>
    </row>
    <row r="529">
      <c r="A529" s="87"/>
      <c r="B529" s="96"/>
      <c r="C529" s="86"/>
      <c r="D529" s="54">
        <f t="shared" si="1"/>
        <v>0</v>
      </c>
      <c r="E529" s="55">
        <f t="shared" si="2"/>
        <v>0</v>
      </c>
      <c r="F529" s="56"/>
      <c r="G529" s="57">
        <f t="shared" si="3"/>
        <v>0</v>
      </c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  <c r="AE529" s="58"/>
      <c r="AF529" s="58"/>
    </row>
    <row r="530">
      <c r="A530" s="87"/>
      <c r="B530" s="96"/>
      <c r="C530" s="86"/>
      <c r="D530" s="54">
        <f t="shared" si="1"/>
        <v>0</v>
      </c>
      <c r="E530" s="55">
        <f t="shared" si="2"/>
        <v>0</v>
      </c>
      <c r="F530" s="56"/>
      <c r="G530" s="57">
        <f t="shared" si="3"/>
        <v>0</v>
      </c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  <c r="AE530" s="58"/>
      <c r="AF530" s="58"/>
    </row>
    <row r="531">
      <c r="A531" s="87"/>
      <c r="B531" s="96"/>
      <c r="C531" s="86"/>
      <c r="D531" s="54">
        <f t="shared" si="1"/>
        <v>0</v>
      </c>
      <c r="E531" s="55">
        <f t="shared" si="2"/>
        <v>0</v>
      </c>
      <c r="F531" s="56"/>
      <c r="G531" s="57">
        <f t="shared" si="3"/>
        <v>0</v>
      </c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  <c r="AE531" s="58"/>
      <c r="AF531" s="58"/>
    </row>
    <row r="532">
      <c r="A532" s="87"/>
      <c r="B532" s="96"/>
      <c r="C532" s="86"/>
      <c r="D532" s="54">
        <f t="shared" si="1"/>
        <v>0</v>
      </c>
      <c r="E532" s="55">
        <f t="shared" si="2"/>
        <v>0</v>
      </c>
      <c r="F532" s="56"/>
      <c r="G532" s="57">
        <f t="shared" si="3"/>
        <v>0</v>
      </c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  <c r="AE532" s="58"/>
      <c r="AF532" s="58"/>
    </row>
    <row r="533">
      <c r="A533" s="87"/>
      <c r="B533" s="96"/>
      <c r="C533" s="86"/>
      <c r="D533" s="54">
        <f t="shared" si="1"/>
        <v>0</v>
      </c>
      <c r="E533" s="55">
        <f t="shared" si="2"/>
        <v>0</v>
      </c>
      <c r="F533" s="56"/>
      <c r="G533" s="57">
        <f t="shared" si="3"/>
        <v>0</v>
      </c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  <c r="AE533" s="58"/>
      <c r="AF533" s="58"/>
    </row>
    <row r="534">
      <c r="A534" s="87"/>
      <c r="B534" s="96"/>
      <c r="C534" s="86"/>
      <c r="D534" s="54">
        <f t="shared" si="1"/>
        <v>0</v>
      </c>
      <c r="E534" s="55">
        <f t="shared" si="2"/>
        <v>0</v>
      </c>
      <c r="F534" s="56"/>
      <c r="G534" s="57">
        <f t="shared" si="3"/>
        <v>0</v>
      </c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  <c r="AE534" s="58"/>
      <c r="AF534" s="58"/>
    </row>
    <row r="535">
      <c r="A535" s="87"/>
      <c r="B535" s="96"/>
      <c r="C535" s="86"/>
      <c r="D535" s="54">
        <f t="shared" si="1"/>
        <v>0</v>
      </c>
      <c r="E535" s="55">
        <f t="shared" si="2"/>
        <v>0</v>
      </c>
      <c r="F535" s="56"/>
      <c r="G535" s="57">
        <f t="shared" si="3"/>
        <v>0</v>
      </c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  <c r="AE535" s="58"/>
      <c r="AF535" s="58"/>
    </row>
    <row r="536">
      <c r="A536" s="87"/>
      <c r="B536" s="96"/>
      <c r="C536" s="86"/>
      <c r="D536" s="54">
        <f t="shared" si="1"/>
        <v>0</v>
      </c>
      <c r="E536" s="55">
        <f t="shared" si="2"/>
        <v>0</v>
      </c>
      <c r="F536" s="56"/>
      <c r="G536" s="57">
        <f t="shared" si="3"/>
        <v>0</v>
      </c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  <c r="AE536" s="58"/>
      <c r="AF536" s="58"/>
    </row>
    <row r="537">
      <c r="A537" s="87"/>
      <c r="B537" s="96"/>
      <c r="C537" s="86"/>
      <c r="D537" s="54">
        <f t="shared" si="1"/>
        <v>0</v>
      </c>
      <c r="E537" s="55">
        <f t="shared" si="2"/>
        <v>0</v>
      </c>
      <c r="F537" s="56"/>
      <c r="G537" s="57">
        <f t="shared" si="3"/>
        <v>0</v>
      </c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  <c r="AE537" s="58"/>
      <c r="AF537" s="58"/>
    </row>
    <row r="538">
      <c r="A538" s="87"/>
      <c r="B538" s="96"/>
      <c r="C538" s="86"/>
      <c r="D538" s="54">
        <f t="shared" si="1"/>
        <v>0</v>
      </c>
      <c r="E538" s="55">
        <f t="shared" si="2"/>
        <v>0</v>
      </c>
      <c r="F538" s="56"/>
      <c r="G538" s="57">
        <f t="shared" si="3"/>
        <v>0</v>
      </c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  <c r="AE538" s="58"/>
      <c r="AF538" s="58"/>
    </row>
    <row r="539">
      <c r="A539" s="87"/>
      <c r="B539" s="96"/>
      <c r="C539" s="86"/>
      <c r="D539" s="54">
        <f t="shared" si="1"/>
        <v>0</v>
      </c>
      <c r="E539" s="55">
        <f t="shared" si="2"/>
        <v>0</v>
      </c>
      <c r="F539" s="56"/>
      <c r="G539" s="57">
        <f t="shared" si="3"/>
        <v>0</v>
      </c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  <c r="AE539" s="58"/>
      <c r="AF539" s="58"/>
    </row>
    <row r="540">
      <c r="A540" s="87"/>
      <c r="B540" s="96"/>
      <c r="C540" s="86"/>
      <c r="D540" s="54">
        <f t="shared" si="1"/>
        <v>0</v>
      </c>
      <c r="E540" s="55">
        <f t="shared" si="2"/>
        <v>0</v>
      </c>
      <c r="F540" s="56"/>
      <c r="G540" s="57">
        <f t="shared" si="3"/>
        <v>0</v>
      </c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  <c r="AE540" s="58"/>
      <c r="AF540" s="58"/>
    </row>
    <row r="541">
      <c r="A541" s="87"/>
      <c r="B541" s="96"/>
      <c r="C541" s="86"/>
      <c r="D541" s="54">
        <f t="shared" si="1"/>
        <v>0</v>
      </c>
      <c r="E541" s="55">
        <f t="shared" si="2"/>
        <v>0</v>
      </c>
      <c r="F541" s="56"/>
      <c r="G541" s="57">
        <f t="shared" si="3"/>
        <v>0</v>
      </c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  <c r="AE541" s="58"/>
      <c r="AF541" s="58"/>
    </row>
    <row r="542">
      <c r="A542" s="87"/>
      <c r="B542" s="96"/>
      <c r="C542" s="86"/>
      <c r="D542" s="54">
        <f t="shared" si="1"/>
        <v>0</v>
      </c>
      <c r="E542" s="55">
        <f t="shared" si="2"/>
        <v>0</v>
      </c>
      <c r="F542" s="56"/>
      <c r="G542" s="57">
        <f t="shared" si="3"/>
        <v>0</v>
      </c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  <c r="AE542" s="58"/>
      <c r="AF542" s="58"/>
    </row>
    <row r="543">
      <c r="A543" s="87"/>
      <c r="B543" s="96"/>
      <c r="C543" s="86"/>
      <c r="D543" s="54">
        <f t="shared" si="1"/>
        <v>0</v>
      </c>
      <c r="E543" s="55">
        <f t="shared" si="2"/>
        <v>0</v>
      </c>
      <c r="F543" s="56"/>
      <c r="G543" s="57">
        <f t="shared" si="3"/>
        <v>0</v>
      </c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  <c r="AE543" s="58"/>
      <c r="AF543" s="58"/>
    </row>
    <row r="544">
      <c r="A544" s="87"/>
      <c r="B544" s="96"/>
      <c r="C544" s="86"/>
      <c r="D544" s="54">
        <f t="shared" si="1"/>
        <v>0</v>
      </c>
      <c r="E544" s="55">
        <f t="shared" si="2"/>
        <v>0</v>
      </c>
      <c r="F544" s="56"/>
      <c r="G544" s="57">
        <f t="shared" si="3"/>
        <v>0</v>
      </c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  <c r="AE544" s="58"/>
      <c r="AF544" s="58"/>
    </row>
    <row r="545">
      <c r="A545" s="87"/>
      <c r="B545" s="96"/>
      <c r="C545" s="86"/>
      <c r="D545" s="54">
        <f t="shared" si="1"/>
        <v>0</v>
      </c>
      <c r="E545" s="55">
        <f t="shared" si="2"/>
        <v>0</v>
      </c>
      <c r="F545" s="56"/>
      <c r="G545" s="57">
        <f t="shared" si="3"/>
        <v>0</v>
      </c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  <c r="AE545" s="58"/>
      <c r="AF545" s="58"/>
    </row>
    <row r="546">
      <c r="A546" s="87"/>
      <c r="B546" s="96"/>
      <c r="C546" s="86"/>
      <c r="D546" s="54">
        <f t="shared" si="1"/>
        <v>0</v>
      </c>
      <c r="E546" s="55">
        <f t="shared" si="2"/>
        <v>0</v>
      </c>
      <c r="F546" s="56"/>
      <c r="G546" s="57">
        <f t="shared" si="3"/>
        <v>0</v>
      </c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  <c r="AE546" s="58"/>
      <c r="AF546" s="58"/>
    </row>
    <row r="547">
      <c r="A547" s="87"/>
      <c r="B547" s="96"/>
      <c r="C547" s="86"/>
      <c r="D547" s="54">
        <f t="shared" si="1"/>
        <v>0</v>
      </c>
      <c r="E547" s="55">
        <f t="shared" si="2"/>
        <v>0</v>
      </c>
      <c r="F547" s="56"/>
      <c r="G547" s="57">
        <f t="shared" si="3"/>
        <v>0</v>
      </c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  <c r="AE547" s="58"/>
      <c r="AF547" s="58"/>
    </row>
    <row r="548">
      <c r="A548" s="87"/>
      <c r="B548" s="96"/>
      <c r="C548" s="86"/>
      <c r="D548" s="54">
        <f t="shared" si="1"/>
        <v>0</v>
      </c>
      <c r="E548" s="55">
        <f t="shared" si="2"/>
        <v>0</v>
      </c>
      <c r="F548" s="56"/>
      <c r="G548" s="57">
        <f t="shared" si="3"/>
        <v>0</v>
      </c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  <c r="AE548" s="58"/>
      <c r="AF548" s="58"/>
    </row>
    <row r="549">
      <c r="A549" s="87"/>
      <c r="B549" s="96"/>
      <c r="C549" s="86"/>
      <c r="D549" s="54">
        <f t="shared" si="1"/>
        <v>0</v>
      </c>
      <c r="E549" s="55">
        <f t="shared" si="2"/>
        <v>0</v>
      </c>
      <c r="F549" s="56"/>
      <c r="G549" s="57">
        <f t="shared" si="3"/>
        <v>0</v>
      </c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  <c r="AE549" s="58"/>
      <c r="AF549" s="58"/>
    </row>
    <row r="550">
      <c r="A550" s="87"/>
      <c r="B550" s="96"/>
      <c r="C550" s="86"/>
      <c r="D550" s="54">
        <f t="shared" si="1"/>
        <v>0</v>
      </c>
      <c r="E550" s="55">
        <f t="shared" si="2"/>
        <v>0</v>
      </c>
      <c r="F550" s="56"/>
      <c r="G550" s="57">
        <f t="shared" si="3"/>
        <v>0</v>
      </c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  <c r="AE550" s="58"/>
      <c r="AF550" s="58"/>
    </row>
    <row r="551">
      <c r="A551" s="87"/>
      <c r="B551" s="96"/>
      <c r="C551" s="86"/>
      <c r="D551" s="54">
        <f t="shared" si="1"/>
        <v>0</v>
      </c>
      <c r="E551" s="55">
        <f t="shared" si="2"/>
        <v>0</v>
      </c>
      <c r="F551" s="56"/>
      <c r="G551" s="57">
        <f t="shared" si="3"/>
        <v>0</v>
      </c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  <c r="AE551" s="58"/>
      <c r="AF551" s="58"/>
    </row>
    <row r="552">
      <c r="A552" s="87"/>
      <c r="B552" s="96"/>
      <c r="C552" s="86"/>
      <c r="D552" s="54">
        <f t="shared" si="1"/>
        <v>0</v>
      </c>
      <c r="E552" s="55">
        <f t="shared" si="2"/>
        <v>0</v>
      </c>
      <c r="F552" s="56"/>
      <c r="G552" s="57">
        <f t="shared" si="3"/>
        <v>0</v>
      </c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  <c r="AE552" s="58"/>
      <c r="AF552" s="58"/>
    </row>
    <row r="553">
      <c r="A553" s="87"/>
      <c r="B553" s="96"/>
      <c r="C553" s="86"/>
      <c r="D553" s="54">
        <f t="shared" si="1"/>
        <v>0</v>
      </c>
      <c r="E553" s="55">
        <f t="shared" si="2"/>
        <v>0</v>
      </c>
      <c r="F553" s="56"/>
      <c r="G553" s="57">
        <f t="shared" si="3"/>
        <v>0</v>
      </c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  <c r="AE553" s="58"/>
      <c r="AF553" s="58"/>
    </row>
    <row r="554">
      <c r="A554" s="87"/>
      <c r="B554" s="96"/>
      <c r="C554" s="86"/>
      <c r="D554" s="54">
        <f t="shared" si="1"/>
        <v>0</v>
      </c>
      <c r="E554" s="55">
        <f t="shared" si="2"/>
        <v>0</v>
      </c>
      <c r="F554" s="56"/>
      <c r="G554" s="57">
        <f t="shared" si="3"/>
        <v>0</v>
      </c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  <c r="AE554" s="58"/>
      <c r="AF554" s="58"/>
    </row>
    <row r="555">
      <c r="A555" s="87"/>
      <c r="B555" s="96"/>
      <c r="C555" s="86"/>
      <c r="D555" s="54">
        <f t="shared" si="1"/>
        <v>0</v>
      </c>
      <c r="E555" s="55">
        <f t="shared" si="2"/>
        <v>0</v>
      </c>
      <c r="F555" s="56"/>
      <c r="G555" s="57">
        <f t="shared" si="3"/>
        <v>0</v>
      </c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  <c r="AE555" s="58"/>
      <c r="AF555" s="58"/>
    </row>
    <row r="556">
      <c r="A556" s="87"/>
      <c r="B556" s="96"/>
      <c r="C556" s="86"/>
      <c r="D556" s="54">
        <f t="shared" si="1"/>
        <v>0</v>
      </c>
      <c r="E556" s="55">
        <f t="shared" si="2"/>
        <v>0</v>
      </c>
      <c r="F556" s="56"/>
      <c r="G556" s="57">
        <f t="shared" si="3"/>
        <v>0</v>
      </c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  <c r="AE556" s="58"/>
      <c r="AF556" s="58"/>
    </row>
    <row r="557">
      <c r="A557" s="87"/>
      <c r="B557" s="96"/>
      <c r="C557" s="86"/>
      <c r="D557" s="54">
        <f t="shared" si="1"/>
        <v>0</v>
      </c>
      <c r="E557" s="55">
        <f t="shared" si="2"/>
        <v>0</v>
      </c>
      <c r="F557" s="56"/>
      <c r="G557" s="57">
        <f t="shared" si="3"/>
        <v>0</v>
      </c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  <c r="AE557" s="58"/>
      <c r="AF557" s="58"/>
    </row>
    <row r="558">
      <c r="A558" s="87"/>
      <c r="B558" s="96"/>
      <c r="C558" s="86"/>
      <c r="D558" s="54">
        <f t="shared" si="1"/>
        <v>0</v>
      </c>
      <c r="E558" s="55">
        <f t="shared" si="2"/>
        <v>0</v>
      </c>
      <c r="F558" s="56"/>
      <c r="G558" s="57">
        <f t="shared" si="3"/>
        <v>0</v>
      </c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  <c r="AE558" s="58"/>
      <c r="AF558" s="58"/>
    </row>
    <row r="559">
      <c r="A559" s="87"/>
      <c r="B559" s="96"/>
      <c r="C559" s="86"/>
      <c r="D559" s="54">
        <f t="shared" si="1"/>
        <v>0</v>
      </c>
      <c r="E559" s="55">
        <f t="shared" si="2"/>
        <v>0</v>
      </c>
      <c r="F559" s="56"/>
      <c r="G559" s="57">
        <f t="shared" si="3"/>
        <v>0</v>
      </c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  <c r="AE559" s="58"/>
      <c r="AF559" s="58"/>
    </row>
    <row r="560">
      <c r="A560" s="87"/>
      <c r="B560" s="96"/>
      <c r="C560" s="86"/>
      <c r="D560" s="54">
        <f t="shared" si="1"/>
        <v>0</v>
      </c>
      <c r="E560" s="55">
        <f t="shared" si="2"/>
        <v>0</v>
      </c>
      <c r="F560" s="56"/>
      <c r="G560" s="57">
        <f t="shared" si="3"/>
        <v>0</v>
      </c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  <c r="AE560" s="58"/>
      <c r="AF560" s="58"/>
    </row>
    <row r="561">
      <c r="A561" s="87"/>
      <c r="B561" s="96"/>
      <c r="C561" s="86"/>
      <c r="D561" s="54">
        <f t="shared" si="1"/>
        <v>0</v>
      </c>
      <c r="E561" s="55">
        <f t="shared" si="2"/>
        <v>0</v>
      </c>
      <c r="F561" s="56"/>
      <c r="G561" s="57">
        <f t="shared" si="3"/>
        <v>0</v>
      </c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  <c r="AE561" s="58"/>
      <c r="AF561" s="58"/>
    </row>
    <row r="562">
      <c r="A562" s="87"/>
      <c r="B562" s="96"/>
      <c r="C562" s="86"/>
      <c r="D562" s="54">
        <f t="shared" si="1"/>
        <v>0</v>
      </c>
      <c r="E562" s="55">
        <f t="shared" si="2"/>
        <v>0</v>
      </c>
      <c r="F562" s="56"/>
      <c r="G562" s="57">
        <f t="shared" si="3"/>
        <v>0</v>
      </c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  <c r="AE562" s="58"/>
      <c r="AF562" s="58"/>
    </row>
    <row r="563">
      <c r="A563" s="87"/>
      <c r="B563" s="96"/>
      <c r="C563" s="86"/>
      <c r="D563" s="54">
        <f t="shared" si="1"/>
        <v>0</v>
      </c>
      <c r="E563" s="55">
        <f t="shared" si="2"/>
        <v>0</v>
      </c>
      <c r="F563" s="56"/>
      <c r="G563" s="57">
        <f t="shared" si="3"/>
        <v>0</v>
      </c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  <c r="AE563" s="58"/>
      <c r="AF563" s="58"/>
    </row>
    <row r="564">
      <c r="A564" s="87"/>
      <c r="B564" s="96"/>
      <c r="C564" s="86"/>
      <c r="D564" s="54">
        <f t="shared" si="1"/>
        <v>0</v>
      </c>
      <c r="E564" s="55">
        <f t="shared" si="2"/>
        <v>0</v>
      </c>
      <c r="F564" s="56"/>
      <c r="G564" s="57">
        <f t="shared" si="3"/>
        <v>0</v>
      </c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  <c r="AE564" s="58"/>
      <c r="AF564" s="58"/>
    </row>
    <row r="565">
      <c r="A565" s="87"/>
      <c r="B565" s="96"/>
      <c r="C565" s="86"/>
      <c r="D565" s="54">
        <f t="shared" si="1"/>
        <v>0</v>
      </c>
      <c r="E565" s="55">
        <f t="shared" si="2"/>
        <v>0</v>
      </c>
      <c r="F565" s="56"/>
      <c r="G565" s="57">
        <f t="shared" si="3"/>
        <v>0</v>
      </c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  <c r="AE565" s="58"/>
      <c r="AF565" s="58"/>
    </row>
    <row r="566">
      <c r="A566" s="87"/>
      <c r="B566" s="96"/>
      <c r="C566" s="86"/>
      <c r="D566" s="54">
        <f t="shared" si="1"/>
        <v>0</v>
      </c>
      <c r="E566" s="55">
        <f t="shared" si="2"/>
        <v>0</v>
      </c>
      <c r="F566" s="56"/>
      <c r="G566" s="57">
        <f t="shared" si="3"/>
        <v>0</v>
      </c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  <c r="AE566" s="58"/>
      <c r="AF566" s="58"/>
    </row>
    <row r="567">
      <c r="A567" s="87"/>
      <c r="B567" s="96"/>
      <c r="C567" s="86"/>
      <c r="D567" s="54">
        <f t="shared" si="1"/>
        <v>0</v>
      </c>
      <c r="E567" s="55">
        <f t="shared" si="2"/>
        <v>0</v>
      </c>
      <c r="F567" s="56"/>
      <c r="G567" s="57">
        <f t="shared" si="3"/>
        <v>0</v>
      </c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  <c r="AE567" s="58"/>
      <c r="AF567" s="58"/>
    </row>
    <row r="568">
      <c r="A568" s="87"/>
      <c r="B568" s="96"/>
      <c r="C568" s="86"/>
      <c r="D568" s="54">
        <f t="shared" si="1"/>
        <v>0</v>
      </c>
      <c r="E568" s="55">
        <f t="shared" si="2"/>
        <v>0</v>
      </c>
      <c r="F568" s="56"/>
      <c r="G568" s="57">
        <f t="shared" si="3"/>
        <v>0</v>
      </c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  <c r="AE568" s="58"/>
      <c r="AF568" s="58"/>
    </row>
    <row r="569">
      <c r="A569" s="87"/>
      <c r="B569" s="96"/>
      <c r="C569" s="86"/>
      <c r="D569" s="54">
        <f t="shared" si="1"/>
        <v>0</v>
      </c>
      <c r="E569" s="55">
        <f t="shared" si="2"/>
        <v>0</v>
      </c>
      <c r="F569" s="56"/>
      <c r="G569" s="57">
        <f t="shared" si="3"/>
        <v>0</v>
      </c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  <c r="AE569" s="58"/>
      <c r="AF569" s="58"/>
    </row>
    <row r="570">
      <c r="A570" s="87"/>
      <c r="B570" s="96"/>
      <c r="C570" s="86"/>
      <c r="D570" s="54">
        <f t="shared" si="1"/>
        <v>0</v>
      </c>
      <c r="E570" s="55">
        <f t="shared" si="2"/>
        <v>0</v>
      </c>
      <c r="F570" s="56"/>
      <c r="G570" s="57">
        <f t="shared" si="3"/>
        <v>0</v>
      </c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  <c r="AE570" s="58"/>
      <c r="AF570" s="58"/>
    </row>
    <row r="571">
      <c r="A571" s="87"/>
      <c r="B571" s="96"/>
      <c r="C571" s="86"/>
      <c r="D571" s="54">
        <f t="shared" si="1"/>
        <v>0</v>
      </c>
      <c r="E571" s="55">
        <f t="shared" si="2"/>
        <v>0</v>
      </c>
      <c r="F571" s="56"/>
      <c r="G571" s="57">
        <f t="shared" si="3"/>
        <v>0</v>
      </c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  <c r="AE571" s="58"/>
      <c r="AF571" s="58"/>
    </row>
    <row r="572">
      <c r="A572" s="87"/>
      <c r="B572" s="96"/>
      <c r="C572" s="86"/>
      <c r="D572" s="54">
        <f t="shared" si="1"/>
        <v>0</v>
      </c>
      <c r="E572" s="55">
        <f t="shared" si="2"/>
        <v>0</v>
      </c>
      <c r="F572" s="56"/>
      <c r="G572" s="57">
        <f t="shared" si="3"/>
        <v>0</v>
      </c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  <c r="AE572" s="58"/>
      <c r="AF572" s="58"/>
    </row>
    <row r="573">
      <c r="A573" s="87"/>
      <c r="B573" s="96"/>
      <c r="C573" s="86"/>
      <c r="D573" s="54">
        <f t="shared" si="1"/>
        <v>0</v>
      </c>
      <c r="E573" s="55">
        <f t="shared" si="2"/>
        <v>0</v>
      </c>
      <c r="F573" s="56"/>
      <c r="G573" s="57">
        <f t="shared" si="3"/>
        <v>0</v>
      </c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  <c r="AE573" s="58"/>
      <c r="AF573" s="58"/>
    </row>
    <row r="574">
      <c r="A574" s="87"/>
      <c r="B574" s="96"/>
      <c r="C574" s="86"/>
      <c r="D574" s="54">
        <f t="shared" si="1"/>
        <v>0</v>
      </c>
      <c r="E574" s="55">
        <f t="shared" si="2"/>
        <v>0</v>
      </c>
      <c r="F574" s="56"/>
      <c r="G574" s="57">
        <f t="shared" si="3"/>
        <v>0</v>
      </c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  <c r="AE574" s="58"/>
      <c r="AF574" s="58"/>
    </row>
    <row r="575">
      <c r="A575" s="87"/>
      <c r="B575" s="96"/>
      <c r="C575" s="86"/>
      <c r="D575" s="54">
        <f t="shared" si="1"/>
        <v>0</v>
      </c>
      <c r="E575" s="55">
        <f t="shared" si="2"/>
        <v>0</v>
      </c>
      <c r="F575" s="56"/>
      <c r="G575" s="57">
        <f t="shared" si="3"/>
        <v>0</v>
      </c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  <c r="AE575" s="58"/>
      <c r="AF575" s="58"/>
    </row>
    <row r="576">
      <c r="A576" s="87"/>
      <c r="B576" s="96"/>
      <c r="C576" s="86"/>
      <c r="D576" s="54">
        <f t="shared" si="1"/>
        <v>0</v>
      </c>
      <c r="E576" s="55">
        <f t="shared" si="2"/>
        <v>0</v>
      </c>
      <c r="F576" s="56"/>
      <c r="G576" s="57">
        <f t="shared" si="3"/>
        <v>0</v>
      </c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  <c r="AE576" s="58"/>
      <c r="AF576" s="58"/>
    </row>
    <row r="577">
      <c r="A577" s="87"/>
      <c r="B577" s="96"/>
      <c r="C577" s="86"/>
      <c r="D577" s="54">
        <f t="shared" si="1"/>
        <v>0</v>
      </c>
      <c r="E577" s="55">
        <f t="shared" si="2"/>
        <v>0</v>
      </c>
      <c r="F577" s="56"/>
      <c r="G577" s="57">
        <f t="shared" si="3"/>
        <v>0</v>
      </c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  <c r="AE577" s="58"/>
      <c r="AF577" s="58"/>
    </row>
    <row r="578">
      <c r="A578" s="87"/>
      <c r="B578" s="96"/>
      <c r="C578" s="86"/>
      <c r="D578" s="54">
        <f t="shared" si="1"/>
        <v>0</v>
      </c>
      <c r="E578" s="55">
        <f t="shared" si="2"/>
        <v>0</v>
      </c>
      <c r="F578" s="56"/>
      <c r="G578" s="57">
        <f t="shared" si="3"/>
        <v>0</v>
      </c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  <c r="AE578" s="58"/>
      <c r="AF578" s="58"/>
    </row>
    <row r="579">
      <c r="A579" s="87"/>
      <c r="B579" s="96"/>
      <c r="C579" s="86"/>
      <c r="D579" s="54">
        <f t="shared" si="1"/>
        <v>0</v>
      </c>
      <c r="E579" s="55">
        <f t="shared" si="2"/>
        <v>0</v>
      </c>
      <c r="F579" s="56"/>
      <c r="G579" s="57">
        <f t="shared" si="3"/>
        <v>0</v>
      </c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  <c r="AE579" s="58"/>
      <c r="AF579" s="58"/>
    </row>
    <row r="580">
      <c r="A580" s="87"/>
      <c r="B580" s="96"/>
      <c r="C580" s="86"/>
      <c r="D580" s="54">
        <f t="shared" si="1"/>
        <v>0</v>
      </c>
      <c r="E580" s="55">
        <f t="shared" si="2"/>
        <v>0</v>
      </c>
      <c r="F580" s="56"/>
      <c r="G580" s="57">
        <f t="shared" si="3"/>
        <v>0</v>
      </c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  <c r="AE580" s="58"/>
      <c r="AF580" s="58"/>
    </row>
    <row r="581">
      <c r="A581" s="87"/>
      <c r="B581" s="96"/>
      <c r="C581" s="86"/>
      <c r="D581" s="54">
        <f t="shared" si="1"/>
        <v>0</v>
      </c>
      <c r="E581" s="55">
        <f t="shared" si="2"/>
        <v>0</v>
      </c>
      <c r="F581" s="56"/>
      <c r="G581" s="57">
        <f t="shared" si="3"/>
        <v>0</v>
      </c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  <c r="AE581" s="58"/>
      <c r="AF581" s="58"/>
    </row>
    <row r="582">
      <c r="A582" s="87"/>
      <c r="B582" s="96"/>
      <c r="C582" s="86"/>
      <c r="D582" s="54">
        <f t="shared" si="1"/>
        <v>0</v>
      </c>
      <c r="E582" s="55">
        <f t="shared" si="2"/>
        <v>0</v>
      </c>
      <c r="F582" s="56"/>
      <c r="G582" s="57">
        <f t="shared" si="3"/>
        <v>0</v>
      </c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  <c r="AE582" s="58"/>
      <c r="AF582" s="58"/>
    </row>
    <row r="583">
      <c r="A583" s="87"/>
      <c r="B583" s="96"/>
      <c r="C583" s="86"/>
      <c r="D583" s="54">
        <f t="shared" si="1"/>
        <v>0</v>
      </c>
      <c r="E583" s="55">
        <f t="shared" si="2"/>
        <v>0</v>
      </c>
      <c r="F583" s="56"/>
      <c r="G583" s="57">
        <f t="shared" si="3"/>
        <v>0</v>
      </c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  <c r="AE583" s="58"/>
      <c r="AF583" s="58"/>
    </row>
    <row r="584">
      <c r="A584" s="87"/>
      <c r="B584" s="96"/>
      <c r="C584" s="86"/>
      <c r="D584" s="54">
        <f t="shared" si="1"/>
        <v>0</v>
      </c>
      <c r="E584" s="55">
        <f t="shared" si="2"/>
        <v>0</v>
      </c>
      <c r="F584" s="56"/>
      <c r="G584" s="57">
        <f t="shared" si="3"/>
        <v>0</v>
      </c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  <c r="AE584" s="58"/>
      <c r="AF584" s="58"/>
    </row>
    <row r="585">
      <c r="A585" s="87"/>
      <c r="B585" s="96"/>
      <c r="C585" s="86"/>
      <c r="D585" s="54">
        <f t="shared" si="1"/>
        <v>0</v>
      </c>
      <c r="E585" s="55">
        <f t="shared" si="2"/>
        <v>0</v>
      </c>
      <c r="F585" s="56"/>
      <c r="G585" s="57">
        <f t="shared" si="3"/>
        <v>0</v>
      </c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  <c r="AE585" s="58"/>
      <c r="AF585" s="58"/>
    </row>
    <row r="586">
      <c r="A586" s="87"/>
      <c r="B586" s="96"/>
      <c r="C586" s="86"/>
      <c r="D586" s="54">
        <f t="shared" si="1"/>
        <v>0</v>
      </c>
      <c r="E586" s="55">
        <f t="shared" si="2"/>
        <v>0</v>
      </c>
      <c r="F586" s="56"/>
      <c r="G586" s="57">
        <f t="shared" si="3"/>
        <v>0</v>
      </c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  <c r="AE586" s="58"/>
      <c r="AF586" s="58"/>
    </row>
    <row r="587">
      <c r="A587" s="87"/>
      <c r="B587" s="96"/>
      <c r="C587" s="86"/>
      <c r="D587" s="54">
        <f t="shared" si="1"/>
        <v>0</v>
      </c>
      <c r="E587" s="55">
        <f t="shared" si="2"/>
        <v>0</v>
      </c>
      <c r="F587" s="56"/>
      <c r="G587" s="57">
        <f t="shared" si="3"/>
        <v>0</v>
      </c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  <c r="AE587" s="58"/>
      <c r="AF587" s="58"/>
    </row>
    <row r="588">
      <c r="A588" s="87"/>
      <c r="B588" s="96"/>
      <c r="C588" s="86"/>
      <c r="D588" s="54">
        <f t="shared" si="1"/>
        <v>0</v>
      </c>
      <c r="E588" s="55">
        <f t="shared" si="2"/>
        <v>0</v>
      </c>
      <c r="F588" s="56"/>
      <c r="G588" s="57">
        <f t="shared" si="3"/>
        <v>0</v>
      </c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  <c r="AE588" s="58"/>
      <c r="AF588" s="58"/>
    </row>
    <row r="589">
      <c r="A589" s="87"/>
      <c r="B589" s="96"/>
      <c r="C589" s="86"/>
      <c r="D589" s="54">
        <f t="shared" si="1"/>
        <v>0</v>
      </c>
      <c r="E589" s="55">
        <f t="shared" si="2"/>
        <v>0</v>
      </c>
      <c r="F589" s="56"/>
      <c r="G589" s="57">
        <f t="shared" si="3"/>
        <v>0</v>
      </c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  <c r="AE589" s="58"/>
      <c r="AF589" s="58"/>
    </row>
    <row r="590">
      <c r="A590" s="87"/>
      <c r="B590" s="96"/>
      <c r="C590" s="86"/>
      <c r="D590" s="54">
        <f t="shared" si="1"/>
        <v>0</v>
      </c>
      <c r="E590" s="55">
        <f t="shared" si="2"/>
        <v>0</v>
      </c>
      <c r="F590" s="56"/>
      <c r="G590" s="57">
        <f t="shared" si="3"/>
        <v>0</v>
      </c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  <c r="AE590" s="58"/>
      <c r="AF590" s="58"/>
    </row>
    <row r="591">
      <c r="A591" s="87"/>
      <c r="B591" s="96"/>
      <c r="C591" s="86"/>
      <c r="D591" s="54">
        <f t="shared" si="1"/>
        <v>0</v>
      </c>
      <c r="E591" s="55">
        <f t="shared" si="2"/>
        <v>0</v>
      </c>
      <c r="F591" s="56"/>
      <c r="G591" s="57">
        <f t="shared" si="3"/>
        <v>0</v>
      </c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  <c r="AE591" s="58"/>
      <c r="AF591" s="58"/>
    </row>
    <row r="592">
      <c r="A592" s="87"/>
      <c r="B592" s="96"/>
      <c r="C592" s="86"/>
      <c r="D592" s="54">
        <f t="shared" si="1"/>
        <v>0</v>
      </c>
      <c r="E592" s="55">
        <f t="shared" si="2"/>
        <v>0</v>
      </c>
      <c r="F592" s="56"/>
      <c r="G592" s="57">
        <f t="shared" si="3"/>
        <v>0</v>
      </c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  <c r="AE592" s="58"/>
      <c r="AF592" s="58"/>
    </row>
    <row r="593">
      <c r="A593" s="87"/>
      <c r="B593" s="96"/>
      <c r="C593" s="86"/>
      <c r="D593" s="54">
        <f t="shared" si="1"/>
        <v>0</v>
      </c>
      <c r="E593" s="55">
        <f t="shared" si="2"/>
        <v>0</v>
      </c>
      <c r="F593" s="56"/>
      <c r="G593" s="57">
        <f t="shared" si="3"/>
        <v>0</v>
      </c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  <c r="AE593" s="58"/>
      <c r="AF593" s="58"/>
    </row>
    <row r="594">
      <c r="A594" s="87"/>
      <c r="B594" s="96"/>
      <c r="C594" s="86"/>
      <c r="D594" s="54">
        <f t="shared" si="1"/>
        <v>0</v>
      </c>
      <c r="E594" s="55">
        <f t="shared" si="2"/>
        <v>0</v>
      </c>
      <c r="F594" s="56"/>
      <c r="G594" s="57">
        <f t="shared" si="3"/>
        <v>0</v>
      </c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  <c r="AE594" s="58"/>
      <c r="AF594" s="58"/>
    </row>
    <row r="595">
      <c r="A595" s="87"/>
      <c r="B595" s="96"/>
      <c r="C595" s="86"/>
      <c r="D595" s="54">
        <f t="shared" si="1"/>
        <v>0</v>
      </c>
      <c r="E595" s="55">
        <f t="shared" si="2"/>
        <v>0</v>
      </c>
      <c r="F595" s="56"/>
      <c r="G595" s="57">
        <f t="shared" si="3"/>
        <v>0</v>
      </c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  <c r="AE595" s="58"/>
      <c r="AF595" s="58"/>
    </row>
    <row r="596">
      <c r="A596" s="87"/>
      <c r="B596" s="96"/>
      <c r="C596" s="86"/>
      <c r="D596" s="54">
        <f t="shared" si="1"/>
        <v>0</v>
      </c>
      <c r="E596" s="55">
        <f t="shared" si="2"/>
        <v>0</v>
      </c>
      <c r="F596" s="56"/>
      <c r="G596" s="57">
        <f t="shared" si="3"/>
        <v>0</v>
      </c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  <c r="AE596" s="58"/>
      <c r="AF596" s="58"/>
    </row>
    <row r="597">
      <c r="A597" s="87"/>
      <c r="B597" s="96"/>
      <c r="C597" s="86"/>
      <c r="D597" s="54">
        <f t="shared" si="1"/>
        <v>0</v>
      </c>
      <c r="E597" s="55">
        <f t="shared" si="2"/>
        <v>0</v>
      </c>
      <c r="F597" s="56"/>
      <c r="G597" s="57">
        <f t="shared" si="3"/>
        <v>0</v>
      </c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  <c r="AE597" s="58"/>
      <c r="AF597" s="58"/>
    </row>
    <row r="598">
      <c r="A598" s="87"/>
      <c r="B598" s="96"/>
      <c r="C598" s="86"/>
      <c r="D598" s="54">
        <f t="shared" si="1"/>
        <v>0</v>
      </c>
      <c r="E598" s="55">
        <f t="shared" si="2"/>
        <v>0</v>
      </c>
      <c r="F598" s="56"/>
      <c r="G598" s="57">
        <f t="shared" si="3"/>
        <v>0</v>
      </c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  <c r="AE598" s="58"/>
      <c r="AF598" s="58"/>
    </row>
    <row r="599">
      <c r="A599" s="87"/>
      <c r="B599" s="96"/>
      <c r="C599" s="86"/>
      <c r="D599" s="54">
        <f t="shared" si="1"/>
        <v>0</v>
      </c>
      <c r="E599" s="55">
        <f t="shared" si="2"/>
        <v>0</v>
      </c>
      <c r="F599" s="56"/>
      <c r="G599" s="57">
        <f t="shared" si="3"/>
        <v>0</v>
      </c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  <c r="AE599" s="58"/>
      <c r="AF599" s="58"/>
    </row>
    <row r="600">
      <c r="A600" s="87"/>
      <c r="B600" s="96"/>
      <c r="C600" s="86"/>
      <c r="D600" s="54">
        <f t="shared" si="1"/>
        <v>0</v>
      </c>
      <c r="E600" s="55">
        <f t="shared" si="2"/>
        <v>0</v>
      </c>
      <c r="F600" s="56"/>
      <c r="G600" s="57">
        <f t="shared" si="3"/>
        <v>0</v>
      </c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  <c r="AE600" s="58"/>
      <c r="AF600" s="58"/>
    </row>
    <row r="601">
      <c r="A601" s="87"/>
      <c r="B601" s="96"/>
      <c r="C601" s="86"/>
      <c r="D601" s="54">
        <f t="shared" si="1"/>
        <v>0</v>
      </c>
      <c r="E601" s="55">
        <f t="shared" si="2"/>
        <v>0</v>
      </c>
      <c r="F601" s="56"/>
      <c r="G601" s="57">
        <f t="shared" si="3"/>
        <v>0</v>
      </c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  <c r="AE601" s="58"/>
      <c r="AF601" s="58"/>
    </row>
    <row r="602">
      <c r="A602" s="87"/>
      <c r="B602" s="96"/>
      <c r="C602" s="86"/>
      <c r="D602" s="54">
        <f t="shared" si="1"/>
        <v>0</v>
      </c>
      <c r="E602" s="55">
        <f t="shared" si="2"/>
        <v>0</v>
      </c>
      <c r="F602" s="56"/>
      <c r="G602" s="57">
        <f t="shared" si="3"/>
        <v>0</v>
      </c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  <c r="AE602" s="58"/>
      <c r="AF602" s="58"/>
    </row>
    <row r="603">
      <c r="A603" s="87"/>
      <c r="B603" s="96"/>
      <c r="C603" s="86"/>
      <c r="D603" s="54">
        <f t="shared" si="1"/>
        <v>0</v>
      </c>
      <c r="E603" s="55">
        <f t="shared" si="2"/>
        <v>0</v>
      </c>
      <c r="F603" s="56"/>
      <c r="G603" s="57">
        <f t="shared" si="3"/>
        <v>0</v>
      </c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  <c r="AE603" s="58"/>
      <c r="AF603" s="58"/>
    </row>
    <row r="604">
      <c r="A604" s="87"/>
      <c r="B604" s="96"/>
      <c r="C604" s="86"/>
      <c r="D604" s="54">
        <f t="shared" si="1"/>
        <v>0</v>
      </c>
      <c r="E604" s="55">
        <f t="shared" si="2"/>
        <v>0</v>
      </c>
      <c r="F604" s="56"/>
      <c r="G604" s="57">
        <f t="shared" si="3"/>
        <v>0</v>
      </c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  <c r="AE604" s="58"/>
      <c r="AF604" s="58"/>
    </row>
    <row r="605">
      <c r="A605" s="87"/>
      <c r="B605" s="96"/>
      <c r="C605" s="86"/>
      <c r="D605" s="54">
        <f t="shared" si="1"/>
        <v>0</v>
      </c>
      <c r="E605" s="55">
        <f t="shared" si="2"/>
        <v>0</v>
      </c>
      <c r="F605" s="56"/>
      <c r="G605" s="57">
        <f t="shared" si="3"/>
        <v>0</v>
      </c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  <c r="AE605" s="58"/>
      <c r="AF605" s="58"/>
    </row>
    <row r="606">
      <c r="A606" s="87"/>
      <c r="B606" s="96"/>
      <c r="C606" s="86"/>
      <c r="D606" s="54">
        <f t="shared" si="1"/>
        <v>0</v>
      </c>
      <c r="E606" s="55">
        <f t="shared" si="2"/>
        <v>0</v>
      </c>
      <c r="F606" s="56"/>
      <c r="G606" s="57">
        <f t="shared" si="3"/>
        <v>0</v>
      </c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  <c r="AE606" s="58"/>
      <c r="AF606" s="58"/>
    </row>
    <row r="607">
      <c r="A607" s="87"/>
      <c r="B607" s="96"/>
      <c r="C607" s="86"/>
      <c r="D607" s="54">
        <f t="shared" si="1"/>
        <v>0</v>
      </c>
      <c r="E607" s="55">
        <f t="shared" si="2"/>
        <v>0</v>
      </c>
      <c r="F607" s="56"/>
      <c r="G607" s="57">
        <f t="shared" si="3"/>
        <v>0</v>
      </c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  <c r="AE607" s="58"/>
      <c r="AF607" s="58"/>
    </row>
    <row r="608">
      <c r="A608" s="87"/>
      <c r="B608" s="96"/>
      <c r="C608" s="86"/>
      <c r="D608" s="54">
        <f t="shared" si="1"/>
        <v>0</v>
      </c>
      <c r="E608" s="55">
        <f t="shared" si="2"/>
        <v>0</v>
      </c>
      <c r="F608" s="56"/>
      <c r="G608" s="57">
        <f t="shared" si="3"/>
        <v>0</v>
      </c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  <c r="AE608" s="58"/>
      <c r="AF608" s="58"/>
    </row>
    <row r="609">
      <c r="A609" s="87"/>
      <c r="B609" s="96"/>
      <c r="C609" s="86"/>
      <c r="D609" s="54">
        <f t="shared" si="1"/>
        <v>0</v>
      </c>
      <c r="E609" s="55">
        <f t="shared" si="2"/>
        <v>0</v>
      </c>
      <c r="F609" s="56"/>
      <c r="G609" s="57">
        <f t="shared" si="3"/>
        <v>0</v>
      </c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  <c r="AE609" s="58"/>
      <c r="AF609" s="58"/>
    </row>
    <row r="610">
      <c r="A610" s="87"/>
      <c r="B610" s="96"/>
      <c r="C610" s="86"/>
      <c r="D610" s="54">
        <f t="shared" si="1"/>
        <v>0</v>
      </c>
      <c r="E610" s="55">
        <f t="shared" si="2"/>
        <v>0</v>
      </c>
      <c r="F610" s="56"/>
      <c r="G610" s="57">
        <f t="shared" si="3"/>
        <v>0</v>
      </c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  <c r="AE610" s="58"/>
      <c r="AF610" s="58"/>
    </row>
    <row r="611">
      <c r="A611" s="87"/>
      <c r="B611" s="96"/>
      <c r="C611" s="86"/>
      <c r="D611" s="54">
        <f t="shared" si="1"/>
        <v>0</v>
      </c>
      <c r="E611" s="55">
        <f t="shared" si="2"/>
        <v>0</v>
      </c>
      <c r="F611" s="56"/>
      <c r="G611" s="57">
        <f t="shared" si="3"/>
        <v>0</v>
      </c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  <c r="AE611" s="58"/>
      <c r="AF611" s="58"/>
    </row>
    <row r="612">
      <c r="A612" s="87"/>
      <c r="B612" s="96"/>
      <c r="C612" s="86"/>
      <c r="D612" s="54">
        <f t="shared" si="1"/>
        <v>0</v>
      </c>
      <c r="E612" s="55">
        <f t="shared" si="2"/>
        <v>0</v>
      </c>
      <c r="F612" s="56"/>
      <c r="G612" s="57">
        <f t="shared" si="3"/>
        <v>0</v>
      </c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  <c r="AE612" s="58"/>
      <c r="AF612" s="58"/>
    </row>
    <row r="613">
      <c r="A613" s="87"/>
      <c r="B613" s="96"/>
      <c r="C613" s="86"/>
      <c r="D613" s="54">
        <f t="shared" si="1"/>
        <v>0</v>
      </c>
      <c r="E613" s="55">
        <f t="shared" si="2"/>
        <v>0</v>
      </c>
      <c r="F613" s="56"/>
      <c r="G613" s="57">
        <f t="shared" si="3"/>
        <v>0</v>
      </c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  <c r="AE613" s="58"/>
      <c r="AF613" s="58"/>
    </row>
    <row r="614">
      <c r="A614" s="87"/>
      <c r="B614" s="96"/>
      <c r="C614" s="86"/>
      <c r="D614" s="54">
        <f t="shared" si="1"/>
        <v>0</v>
      </c>
      <c r="E614" s="55">
        <f t="shared" si="2"/>
        <v>0</v>
      </c>
      <c r="F614" s="56"/>
      <c r="G614" s="57">
        <f t="shared" si="3"/>
        <v>0</v>
      </c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  <c r="AE614" s="58"/>
      <c r="AF614" s="58"/>
    </row>
    <row r="615">
      <c r="A615" s="87"/>
      <c r="B615" s="96"/>
      <c r="C615" s="86"/>
      <c r="D615" s="54">
        <f t="shared" si="1"/>
        <v>0</v>
      </c>
      <c r="E615" s="55">
        <f t="shared" si="2"/>
        <v>0</v>
      </c>
      <c r="F615" s="56"/>
      <c r="G615" s="57">
        <f t="shared" si="3"/>
        <v>0</v>
      </c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  <c r="AE615" s="58"/>
      <c r="AF615" s="58"/>
    </row>
    <row r="616">
      <c r="A616" s="87"/>
      <c r="B616" s="96"/>
      <c r="C616" s="86"/>
      <c r="D616" s="54">
        <f t="shared" si="1"/>
        <v>0</v>
      </c>
      <c r="E616" s="55">
        <f t="shared" si="2"/>
        <v>0</v>
      </c>
      <c r="F616" s="56"/>
      <c r="G616" s="57">
        <f t="shared" si="3"/>
        <v>0</v>
      </c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  <c r="AE616" s="58"/>
      <c r="AF616" s="58"/>
    </row>
    <row r="617">
      <c r="A617" s="87"/>
      <c r="B617" s="96"/>
      <c r="C617" s="86"/>
      <c r="D617" s="54">
        <f t="shared" si="1"/>
        <v>0</v>
      </c>
      <c r="E617" s="55">
        <f t="shared" si="2"/>
        <v>0</v>
      </c>
      <c r="F617" s="56"/>
      <c r="G617" s="57">
        <f t="shared" si="3"/>
        <v>0</v>
      </c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  <c r="AE617" s="58"/>
      <c r="AF617" s="58"/>
    </row>
    <row r="618">
      <c r="A618" s="87"/>
      <c r="B618" s="96"/>
      <c r="C618" s="86"/>
      <c r="D618" s="54">
        <f t="shared" si="1"/>
        <v>0</v>
      </c>
      <c r="E618" s="55">
        <f t="shared" si="2"/>
        <v>0</v>
      </c>
      <c r="F618" s="56"/>
      <c r="G618" s="57">
        <f t="shared" si="3"/>
        <v>0</v>
      </c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  <c r="AE618" s="58"/>
      <c r="AF618" s="58"/>
    </row>
    <row r="619">
      <c r="A619" s="87"/>
      <c r="B619" s="96"/>
      <c r="C619" s="86"/>
      <c r="D619" s="54">
        <f t="shared" si="1"/>
        <v>0</v>
      </c>
      <c r="E619" s="55">
        <f t="shared" si="2"/>
        <v>0</v>
      </c>
      <c r="F619" s="56"/>
      <c r="G619" s="57">
        <f t="shared" si="3"/>
        <v>0</v>
      </c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  <c r="AE619" s="58"/>
      <c r="AF619" s="58"/>
    </row>
    <row r="620">
      <c r="A620" s="87"/>
      <c r="B620" s="96"/>
      <c r="C620" s="86"/>
      <c r="D620" s="54">
        <f t="shared" si="1"/>
        <v>0</v>
      </c>
      <c r="E620" s="55">
        <f t="shared" si="2"/>
        <v>0</v>
      </c>
      <c r="F620" s="56"/>
      <c r="G620" s="57">
        <f t="shared" si="3"/>
        <v>0</v>
      </c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  <c r="AE620" s="58"/>
      <c r="AF620" s="58"/>
    </row>
    <row r="621">
      <c r="A621" s="87"/>
      <c r="B621" s="96"/>
      <c r="C621" s="86"/>
      <c r="D621" s="54">
        <f t="shared" si="1"/>
        <v>0</v>
      </c>
      <c r="E621" s="55">
        <f t="shared" si="2"/>
        <v>0</v>
      </c>
      <c r="F621" s="56"/>
      <c r="G621" s="57">
        <f t="shared" si="3"/>
        <v>0</v>
      </c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  <c r="AE621" s="58"/>
      <c r="AF621" s="58"/>
    </row>
    <row r="622">
      <c r="A622" s="87"/>
      <c r="B622" s="96"/>
      <c r="C622" s="86"/>
      <c r="D622" s="54">
        <f t="shared" si="1"/>
        <v>0</v>
      </c>
      <c r="E622" s="55">
        <f t="shared" si="2"/>
        <v>0</v>
      </c>
      <c r="F622" s="56"/>
      <c r="G622" s="57">
        <f t="shared" si="3"/>
        <v>0</v>
      </c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  <c r="AE622" s="58"/>
      <c r="AF622" s="58"/>
    </row>
    <row r="623">
      <c r="A623" s="87"/>
      <c r="B623" s="96"/>
      <c r="C623" s="86"/>
      <c r="D623" s="54">
        <f t="shared" si="1"/>
        <v>0</v>
      </c>
      <c r="E623" s="55">
        <f t="shared" si="2"/>
        <v>0</v>
      </c>
      <c r="F623" s="56"/>
      <c r="G623" s="57">
        <f t="shared" si="3"/>
        <v>0</v>
      </c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  <c r="AE623" s="58"/>
      <c r="AF623" s="58"/>
    </row>
    <row r="624">
      <c r="A624" s="87"/>
      <c r="B624" s="96"/>
      <c r="C624" s="86"/>
      <c r="D624" s="54">
        <f t="shared" si="1"/>
        <v>0</v>
      </c>
      <c r="E624" s="55">
        <f t="shared" si="2"/>
        <v>0</v>
      </c>
      <c r="F624" s="56"/>
      <c r="G624" s="57">
        <f t="shared" si="3"/>
        <v>0</v>
      </c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  <c r="AE624" s="58"/>
      <c r="AF624" s="58"/>
    </row>
    <row r="625">
      <c r="A625" s="87"/>
      <c r="B625" s="96"/>
      <c r="C625" s="86"/>
      <c r="D625" s="54">
        <f t="shared" si="1"/>
        <v>0</v>
      </c>
      <c r="E625" s="55">
        <f t="shared" si="2"/>
        <v>0</v>
      </c>
      <c r="F625" s="56"/>
      <c r="G625" s="57">
        <f t="shared" si="3"/>
        <v>0</v>
      </c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  <c r="AE625" s="58"/>
      <c r="AF625" s="58"/>
    </row>
    <row r="626">
      <c r="A626" s="87"/>
      <c r="B626" s="96"/>
      <c r="C626" s="86"/>
      <c r="D626" s="54">
        <f t="shared" si="1"/>
        <v>0</v>
      </c>
      <c r="E626" s="55">
        <f t="shared" si="2"/>
        <v>0</v>
      </c>
      <c r="F626" s="56"/>
      <c r="G626" s="57">
        <f t="shared" si="3"/>
        <v>0</v>
      </c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  <c r="AE626" s="58"/>
      <c r="AF626" s="58"/>
    </row>
    <row r="627">
      <c r="A627" s="87"/>
      <c r="B627" s="96"/>
      <c r="C627" s="86"/>
      <c r="D627" s="54">
        <f t="shared" si="1"/>
        <v>0</v>
      </c>
      <c r="E627" s="55">
        <f t="shared" si="2"/>
        <v>0</v>
      </c>
      <c r="F627" s="56"/>
      <c r="G627" s="57">
        <f t="shared" si="3"/>
        <v>0</v>
      </c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  <c r="AE627" s="58"/>
      <c r="AF627" s="58"/>
    </row>
    <row r="628">
      <c r="A628" s="87"/>
      <c r="B628" s="96"/>
      <c r="C628" s="86"/>
      <c r="D628" s="54">
        <f t="shared" si="1"/>
        <v>0</v>
      </c>
      <c r="E628" s="55">
        <f t="shared" si="2"/>
        <v>0</v>
      </c>
      <c r="F628" s="56"/>
      <c r="G628" s="57">
        <f t="shared" si="3"/>
        <v>0</v>
      </c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  <c r="AE628" s="58"/>
      <c r="AF628" s="58"/>
    </row>
    <row r="629">
      <c r="A629" s="87"/>
      <c r="B629" s="96"/>
      <c r="C629" s="86"/>
      <c r="D629" s="54">
        <f t="shared" si="1"/>
        <v>0</v>
      </c>
      <c r="E629" s="55">
        <f t="shared" si="2"/>
        <v>0</v>
      </c>
      <c r="F629" s="56"/>
      <c r="G629" s="57">
        <f t="shared" si="3"/>
        <v>0</v>
      </c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  <c r="AE629" s="58"/>
      <c r="AF629" s="58"/>
    </row>
    <row r="630">
      <c r="A630" s="87"/>
      <c r="B630" s="96"/>
      <c r="C630" s="86"/>
      <c r="D630" s="54">
        <f t="shared" si="1"/>
        <v>0</v>
      </c>
      <c r="E630" s="55">
        <f t="shared" si="2"/>
        <v>0</v>
      </c>
      <c r="F630" s="56"/>
      <c r="G630" s="57">
        <f t="shared" si="3"/>
        <v>0</v>
      </c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  <c r="AE630" s="58"/>
      <c r="AF630" s="58"/>
    </row>
    <row r="631">
      <c r="A631" s="87"/>
      <c r="B631" s="96"/>
      <c r="C631" s="86"/>
      <c r="D631" s="54">
        <f t="shared" si="1"/>
        <v>0</v>
      </c>
      <c r="E631" s="55">
        <f t="shared" si="2"/>
        <v>0</v>
      </c>
      <c r="F631" s="56"/>
      <c r="G631" s="57">
        <f t="shared" si="3"/>
        <v>0</v>
      </c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  <c r="AE631" s="58"/>
      <c r="AF631" s="58"/>
    </row>
    <row r="632">
      <c r="A632" s="87"/>
      <c r="B632" s="96"/>
      <c r="C632" s="86"/>
      <c r="D632" s="54">
        <f t="shared" si="1"/>
        <v>0</v>
      </c>
      <c r="E632" s="55">
        <f t="shared" si="2"/>
        <v>0</v>
      </c>
      <c r="F632" s="56"/>
      <c r="G632" s="57">
        <f t="shared" si="3"/>
        <v>0</v>
      </c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  <c r="AE632" s="58"/>
      <c r="AF632" s="58"/>
    </row>
    <row r="633">
      <c r="A633" s="87"/>
      <c r="B633" s="96"/>
      <c r="C633" s="86"/>
      <c r="D633" s="54">
        <f t="shared" si="1"/>
        <v>0</v>
      </c>
      <c r="E633" s="55">
        <f t="shared" si="2"/>
        <v>0</v>
      </c>
      <c r="F633" s="56"/>
      <c r="G633" s="57">
        <f t="shared" si="3"/>
        <v>0</v>
      </c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  <c r="AE633" s="58"/>
      <c r="AF633" s="58"/>
    </row>
    <row r="634">
      <c r="A634" s="87"/>
      <c r="B634" s="96"/>
      <c r="C634" s="86"/>
      <c r="D634" s="54">
        <f t="shared" si="1"/>
        <v>0</v>
      </c>
      <c r="E634" s="55">
        <f t="shared" si="2"/>
        <v>0</v>
      </c>
      <c r="F634" s="56"/>
      <c r="G634" s="57">
        <f t="shared" si="3"/>
        <v>0</v>
      </c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  <c r="AE634" s="58"/>
      <c r="AF634" s="58"/>
    </row>
    <row r="635">
      <c r="A635" s="87"/>
      <c r="B635" s="96"/>
      <c r="C635" s="86"/>
      <c r="D635" s="54">
        <f t="shared" si="1"/>
        <v>0</v>
      </c>
      <c r="E635" s="55">
        <f t="shared" si="2"/>
        <v>0</v>
      </c>
      <c r="F635" s="56"/>
      <c r="G635" s="57">
        <f t="shared" si="3"/>
        <v>0</v>
      </c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  <c r="AE635" s="58"/>
      <c r="AF635" s="58"/>
    </row>
    <row r="636">
      <c r="A636" s="87"/>
      <c r="B636" s="96"/>
      <c r="C636" s="86"/>
      <c r="D636" s="54">
        <f t="shared" si="1"/>
        <v>0</v>
      </c>
      <c r="E636" s="55">
        <f t="shared" si="2"/>
        <v>0</v>
      </c>
      <c r="F636" s="56"/>
      <c r="G636" s="57">
        <f t="shared" si="3"/>
        <v>0</v>
      </c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  <c r="AE636" s="58"/>
      <c r="AF636" s="58"/>
    </row>
    <row r="637">
      <c r="A637" s="87"/>
      <c r="B637" s="96"/>
      <c r="C637" s="86"/>
      <c r="D637" s="54">
        <f t="shared" si="1"/>
        <v>0</v>
      </c>
      <c r="E637" s="55">
        <f t="shared" si="2"/>
        <v>0</v>
      </c>
      <c r="F637" s="56"/>
      <c r="G637" s="57">
        <f t="shared" si="3"/>
        <v>0</v>
      </c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  <c r="AE637" s="58"/>
      <c r="AF637" s="58"/>
    </row>
    <row r="638">
      <c r="A638" s="87"/>
      <c r="B638" s="96"/>
      <c r="C638" s="86"/>
      <c r="D638" s="54">
        <f t="shared" si="1"/>
        <v>0</v>
      </c>
      <c r="E638" s="55">
        <f t="shared" si="2"/>
        <v>0</v>
      </c>
      <c r="F638" s="56"/>
      <c r="G638" s="57">
        <f t="shared" si="3"/>
        <v>0</v>
      </c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  <c r="AE638" s="58"/>
      <c r="AF638" s="58"/>
    </row>
    <row r="639">
      <c r="A639" s="87"/>
      <c r="B639" s="96"/>
      <c r="C639" s="86"/>
      <c r="D639" s="54">
        <f t="shared" si="1"/>
        <v>0</v>
      </c>
      <c r="E639" s="55">
        <f t="shared" si="2"/>
        <v>0</v>
      </c>
      <c r="F639" s="56"/>
      <c r="G639" s="57">
        <f t="shared" si="3"/>
        <v>0</v>
      </c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  <c r="AE639" s="58"/>
      <c r="AF639" s="58"/>
    </row>
    <row r="640">
      <c r="A640" s="87"/>
      <c r="B640" s="96"/>
      <c r="C640" s="86"/>
      <c r="D640" s="54">
        <f t="shared" si="1"/>
        <v>0</v>
      </c>
      <c r="E640" s="55">
        <f t="shared" si="2"/>
        <v>0</v>
      </c>
      <c r="F640" s="56"/>
      <c r="G640" s="57">
        <f t="shared" si="3"/>
        <v>0</v>
      </c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  <c r="AE640" s="58"/>
      <c r="AF640" s="58"/>
    </row>
    <row r="641">
      <c r="A641" s="87"/>
      <c r="B641" s="96"/>
      <c r="C641" s="86"/>
      <c r="D641" s="54">
        <f t="shared" si="1"/>
        <v>0</v>
      </c>
      <c r="E641" s="55">
        <f t="shared" si="2"/>
        <v>0</v>
      </c>
      <c r="F641" s="56"/>
      <c r="G641" s="57">
        <f t="shared" si="3"/>
        <v>0</v>
      </c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  <c r="AE641" s="58"/>
      <c r="AF641" s="58"/>
    </row>
    <row r="642">
      <c r="A642" s="87"/>
      <c r="B642" s="96"/>
      <c r="C642" s="86"/>
      <c r="D642" s="54">
        <f t="shared" si="1"/>
        <v>0</v>
      </c>
      <c r="E642" s="55">
        <f t="shared" si="2"/>
        <v>0</v>
      </c>
      <c r="F642" s="56"/>
      <c r="G642" s="57">
        <f t="shared" si="3"/>
        <v>0</v>
      </c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  <c r="AE642" s="58"/>
      <c r="AF642" s="58"/>
    </row>
    <row r="643">
      <c r="A643" s="87"/>
      <c r="B643" s="96"/>
      <c r="C643" s="86"/>
      <c r="D643" s="54">
        <f t="shared" si="1"/>
        <v>0</v>
      </c>
      <c r="E643" s="55">
        <f t="shared" si="2"/>
        <v>0</v>
      </c>
      <c r="F643" s="56"/>
      <c r="G643" s="57">
        <f t="shared" si="3"/>
        <v>0</v>
      </c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  <c r="AE643" s="58"/>
      <c r="AF643" s="58"/>
    </row>
    <row r="644">
      <c r="A644" s="87"/>
      <c r="B644" s="96"/>
      <c r="C644" s="86"/>
      <c r="D644" s="54">
        <f t="shared" si="1"/>
        <v>0</v>
      </c>
      <c r="E644" s="55">
        <f t="shared" si="2"/>
        <v>0</v>
      </c>
      <c r="F644" s="56"/>
      <c r="G644" s="57">
        <f t="shared" si="3"/>
        <v>0</v>
      </c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  <c r="AE644" s="58"/>
      <c r="AF644" s="58"/>
    </row>
    <row r="645">
      <c r="A645" s="87"/>
      <c r="B645" s="96"/>
      <c r="C645" s="86"/>
      <c r="D645" s="54">
        <f t="shared" si="1"/>
        <v>0</v>
      </c>
      <c r="E645" s="55">
        <f t="shared" si="2"/>
        <v>0</v>
      </c>
      <c r="F645" s="56"/>
      <c r="G645" s="57">
        <f t="shared" si="3"/>
        <v>0</v>
      </c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  <c r="AE645" s="58"/>
      <c r="AF645" s="58"/>
    </row>
    <row r="646">
      <c r="A646" s="87"/>
      <c r="B646" s="96"/>
      <c r="C646" s="86"/>
      <c r="D646" s="54">
        <f t="shared" si="1"/>
        <v>0</v>
      </c>
      <c r="E646" s="55">
        <f t="shared" si="2"/>
        <v>0</v>
      </c>
      <c r="F646" s="56"/>
      <c r="G646" s="57">
        <f t="shared" si="3"/>
        <v>0</v>
      </c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  <c r="AE646" s="58"/>
      <c r="AF646" s="58"/>
    </row>
    <row r="647">
      <c r="A647" s="87"/>
      <c r="B647" s="96"/>
      <c r="C647" s="86"/>
      <c r="D647" s="54">
        <f t="shared" si="1"/>
        <v>0</v>
      </c>
      <c r="E647" s="55">
        <f t="shared" si="2"/>
        <v>0</v>
      </c>
      <c r="F647" s="56"/>
      <c r="G647" s="57">
        <f t="shared" si="3"/>
        <v>0</v>
      </c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  <c r="AE647" s="58"/>
      <c r="AF647" s="58"/>
    </row>
    <row r="648">
      <c r="A648" s="87"/>
      <c r="B648" s="96"/>
      <c r="C648" s="86"/>
      <c r="D648" s="54">
        <f t="shared" si="1"/>
        <v>0</v>
      </c>
      <c r="E648" s="55">
        <f t="shared" si="2"/>
        <v>0</v>
      </c>
      <c r="F648" s="56"/>
      <c r="G648" s="57">
        <f t="shared" si="3"/>
        <v>0</v>
      </c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  <c r="AE648" s="58"/>
      <c r="AF648" s="58"/>
    </row>
    <row r="649">
      <c r="A649" s="87"/>
      <c r="B649" s="96"/>
      <c r="C649" s="86"/>
      <c r="D649" s="54">
        <f t="shared" si="1"/>
        <v>0</v>
      </c>
      <c r="E649" s="55">
        <f t="shared" si="2"/>
        <v>0</v>
      </c>
      <c r="F649" s="56"/>
      <c r="G649" s="57">
        <f t="shared" si="3"/>
        <v>0</v>
      </c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  <c r="AE649" s="58"/>
      <c r="AF649" s="58"/>
    </row>
    <row r="650">
      <c r="A650" s="87"/>
      <c r="B650" s="96"/>
      <c r="C650" s="86"/>
      <c r="D650" s="54">
        <f t="shared" si="1"/>
        <v>0</v>
      </c>
      <c r="E650" s="55">
        <f t="shared" si="2"/>
        <v>0</v>
      </c>
      <c r="F650" s="56"/>
      <c r="G650" s="57">
        <f t="shared" si="3"/>
        <v>0</v>
      </c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  <c r="AE650" s="58"/>
      <c r="AF650" s="58"/>
    </row>
    <row r="651">
      <c r="A651" s="87"/>
      <c r="B651" s="96"/>
      <c r="C651" s="86"/>
      <c r="D651" s="54">
        <f t="shared" si="1"/>
        <v>0</v>
      </c>
      <c r="E651" s="55">
        <f t="shared" si="2"/>
        <v>0</v>
      </c>
      <c r="F651" s="56"/>
      <c r="G651" s="57">
        <f t="shared" si="3"/>
        <v>0</v>
      </c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  <c r="AE651" s="58"/>
      <c r="AF651" s="58"/>
    </row>
    <row r="652">
      <c r="A652" s="87"/>
      <c r="B652" s="96"/>
      <c r="C652" s="86"/>
      <c r="D652" s="54">
        <f t="shared" si="1"/>
        <v>0</v>
      </c>
      <c r="E652" s="55">
        <f t="shared" si="2"/>
        <v>0</v>
      </c>
      <c r="F652" s="56"/>
      <c r="G652" s="57">
        <f t="shared" si="3"/>
        <v>0</v>
      </c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  <c r="AE652" s="58"/>
      <c r="AF652" s="58"/>
    </row>
    <row r="653">
      <c r="A653" s="87"/>
      <c r="B653" s="96"/>
      <c r="C653" s="86"/>
      <c r="D653" s="54">
        <f t="shared" si="1"/>
        <v>0</v>
      </c>
      <c r="E653" s="55">
        <f t="shared" si="2"/>
        <v>0</v>
      </c>
      <c r="F653" s="56"/>
      <c r="G653" s="57">
        <f t="shared" si="3"/>
        <v>0</v>
      </c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  <c r="AE653" s="58"/>
      <c r="AF653" s="58"/>
    </row>
    <row r="654">
      <c r="A654" s="87"/>
      <c r="B654" s="96"/>
      <c r="C654" s="86"/>
      <c r="D654" s="54">
        <f t="shared" si="1"/>
        <v>0</v>
      </c>
      <c r="E654" s="55">
        <f t="shared" si="2"/>
        <v>0</v>
      </c>
      <c r="F654" s="56"/>
      <c r="G654" s="57">
        <f t="shared" si="3"/>
        <v>0</v>
      </c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  <c r="AE654" s="58"/>
      <c r="AF654" s="58"/>
    </row>
    <row r="655">
      <c r="A655" s="87"/>
      <c r="B655" s="96"/>
      <c r="C655" s="86"/>
      <c r="D655" s="54">
        <f t="shared" si="1"/>
        <v>0</v>
      </c>
      <c r="E655" s="55">
        <f t="shared" si="2"/>
        <v>0</v>
      </c>
      <c r="F655" s="56"/>
      <c r="G655" s="57">
        <f t="shared" si="3"/>
        <v>0</v>
      </c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  <c r="AE655" s="58"/>
      <c r="AF655" s="58"/>
    </row>
    <row r="656">
      <c r="A656" s="87"/>
      <c r="B656" s="96"/>
      <c r="C656" s="86"/>
      <c r="D656" s="54">
        <f t="shared" si="1"/>
        <v>0</v>
      </c>
      <c r="E656" s="55">
        <f t="shared" si="2"/>
        <v>0</v>
      </c>
      <c r="F656" s="56"/>
      <c r="G656" s="57">
        <f t="shared" si="3"/>
        <v>0</v>
      </c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  <c r="AE656" s="58"/>
      <c r="AF656" s="58"/>
    </row>
    <row r="657">
      <c r="A657" s="87"/>
      <c r="B657" s="96"/>
      <c r="C657" s="86"/>
      <c r="D657" s="54">
        <f t="shared" si="1"/>
        <v>0</v>
      </c>
      <c r="E657" s="55">
        <f t="shared" si="2"/>
        <v>0</v>
      </c>
      <c r="F657" s="56"/>
      <c r="G657" s="57">
        <f t="shared" si="3"/>
        <v>0</v>
      </c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  <c r="AE657" s="58"/>
      <c r="AF657" s="58"/>
    </row>
    <row r="658">
      <c r="A658" s="87"/>
      <c r="B658" s="96"/>
      <c r="C658" s="86"/>
      <c r="D658" s="54">
        <f t="shared" si="1"/>
        <v>0</v>
      </c>
      <c r="E658" s="55">
        <f t="shared" si="2"/>
        <v>0</v>
      </c>
      <c r="F658" s="56"/>
      <c r="G658" s="57">
        <f t="shared" si="3"/>
        <v>0</v>
      </c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  <c r="AE658" s="58"/>
      <c r="AF658" s="58"/>
    </row>
    <row r="659">
      <c r="A659" s="87"/>
      <c r="B659" s="96"/>
      <c r="C659" s="86"/>
      <c r="D659" s="54">
        <f t="shared" si="1"/>
        <v>0</v>
      </c>
      <c r="E659" s="55">
        <f t="shared" si="2"/>
        <v>0</v>
      </c>
      <c r="F659" s="56"/>
      <c r="G659" s="57">
        <f t="shared" si="3"/>
        <v>0</v>
      </c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  <c r="AE659" s="58"/>
      <c r="AF659" s="58"/>
    </row>
    <row r="660">
      <c r="A660" s="87"/>
      <c r="B660" s="96"/>
      <c r="C660" s="86"/>
      <c r="D660" s="54">
        <f t="shared" si="1"/>
        <v>0</v>
      </c>
      <c r="E660" s="55">
        <f t="shared" si="2"/>
        <v>0</v>
      </c>
      <c r="F660" s="56"/>
      <c r="G660" s="57">
        <f t="shared" si="3"/>
        <v>0</v>
      </c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  <c r="AE660" s="58"/>
      <c r="AF660" s="58"/>
    </row>
    <row r="661">
      <c r="A661" s="87"/>
      <c r="B661" s="96"/>
      <c r="C661" s="86"/>
      <c r="D661" s="54">
        <f t="shared" si="1"/>
        <v>0</v>
      </c>
      <c r="E661" s="55">
        <f t="shared" si="2"/>
        <v>0</v>
      </c>
      <c r="F661" s="56"/>
      <c r="G661" s="57">
        <f t="shared" si="3"/>
        <v>0</v>
      </c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  <c r="AE661" s="58"/>
      <c r="AF661" s="58"/>
    </row>
    <row r="662">
      <c r="A662" s="87"/>
      <c r="B662" s="96"/>
      <c r="C662" s="86"/>
      <c r="D662" s="54">
        <f t="shared" si="1"/>
        <v>0</v>
      </c>
      <c r="E662" s="55">
        <f t="shared" si="2"/>
        <v>0</v>
      </c>
      <c r="F662" s="56"/>
      <c r="G662" s="57">
        <f t="shared" si="3"/>
        <v>0</v>
      </c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  <c r="AE662" s="58"/>
      <c r="AF662" s="58"/>
    </row>
    <row r="663">
      <c r="A663" s="87"/>
      <c r="B663" s="96"/>
      <c r="C663" s="86"/>
      <c r="D663" s="54">
        <f t="shared" si="1"/>
        <v>0</v>
      </c>
      <c r="E663" s="55">
        <f t="shared" si="2"/>
        <v>0</v>
      </c>
      <c r="F663" s="56"/>
      <c r="G663" s="57">
        <f t="shared" si="3"/>
        <v>0</v>
      </c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  <c r="AE663" s="58"/>
      <c r="AF663" s="58"/>
    </row>
    <row r="664">
      <c r="A664" s="87"/>
      <c r="B664" s="96"/>
      <c r="C664" s="86"/>
      <c r="D664" s="54">
        <f t="shared" si="1"/>
        <v>0</v>
      </c>
      <c r="E664" s="55">
        <f t="shared" si="2"/>
        <v>0</v>
      </c>
      <c r="F664" s="56"/>
      <c r="G664" s="57">
        <f t="shared" si="3"/>
        <v>0</v>
      </c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  <c r="AE664" s="58"/>
      <c r="AF664" s="58"/>
    </row>
    <row r="665">
      <c r="A665" s="87"/>
      <c r="B665" s="96"/>
      <c r="C665" s="86"/>
      <c r="D665" s="54">
        <f t="shared" si="1"/>
        <v>0</v>
      </c>
      <c r="E665" s="55">
        <f t="shared" si="2"/>
        <v>0</v>
      </c>
      <c r="F665" s="56"/>
      <c r="G665" s="57">
        <f t="shared" si="3"/>
        <v>0</v>
      </c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  <c r="AE665" s="58"/>
      <c r="AF665" s="58"/>
    </row>
    <row r="666">
      <c r="A666" s="87"/>
      <c r="B666" s="96"/>
      <c r="C666" s="86"/>
      <c r="D666" s="54">
        <f t="shared" si="1"/>
        <v>0</v>
      </c>
      <c r="E666" s="55">
        <f t="shared" si="2"/>
        <v>0</v>
      </c>
      <c r="F666" s="56"/>
      <c r="G666" s="57">
        <f t="shared" si="3"/>
        <v>0</v>
      </c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  <c r="AE666" s="58"/>
      <c r="AF666" s="58"/>
    </row>
    <row r="667">
      <c r="A667" s="87"/>
      <c r="B667" s="96"/>
      <c r="C667" s="86"/>
      <c r="D667" s="54">
        <f t="shared" si="1"/>
        <v>0</v>
      </c>
      <c r="E667" s="55">
        <f t="shared" si="2"/>
        <v>0</v>
      </c>
      <c r="F667" s="56"/>
      <c r="G667" s="57">
        <f t="shared" si="3"/>
        <v>0</v>
      </c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  <c r="AE667" s="58"/>
      <c r="AF667" s="58"/>
    </row>
    <row r="668">
      <c r="A668" s="87"/>
      <c r="B668" s="96"/>
      <c r="C668" s="86"/>
      <c r="D668" s="54">
        <f t="shared" si="1"/>
        <v>0</v>
      </c>
      <c r="E668" s="55">
        <f t="shared" si="2"/>
        <v>0</v>
      </c>
      <c r="F668" s="56"/>
      <c r="G668" s="57">
        <f t="shared" si="3"/>
        <v>0</v>
      </c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  <c r="AE668" s="58"/>
      <c r="AF668" s="58"/>
    </row>
    <row r="669">
      <c r="A669" s="87"/>
      <c r="B669" s="96"/>
      <c r="C669" s="86"/>
      <c r="D669" s="54">
        <f t="shared" si="1"/>
        <v>0</v>
      </c>
      <c r="E669" s="55">
        <f t="shared" si="2"/>
        <v>0</v>
      </c>
      <c r="F669" s="56"/>
      <c r="G669" s="57">
        <f t="shared" si="3"/>
        <v>0</v>
      </c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  <c r="AE669" s="58"/>
      <c r="AF669" s="58"/>
    </row>
    <row r="670">
      <c r="A670" s="87"/>
      <c r="B670" s="96"/>
      <c r="C670" s="86"/>
      <c r="D670" s="54">
        <f t="shared" si="1"/>
        <v>0</v>
      </c>
      <c r="E670" s="55">
        <f t="shared" si="2"/>
        <v>0</v>
      </c>
      <c r="F670" s="56"/>
      <c r="G670" s="57">
        <f t="shared" si="3"/>
        <v>0</v>
      </c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  <c r="AE670" s="58"/>
      <c r="AF670" s="58"/>
    </row>
    <row r="671">
      <c r="A671" s="87"/>
      <c r="B671" s="96"/>
      <c r="C671" s="86"/>
      <c r="D671" s="54">
        <f t="shared" si="1"/>
        <v>0</v>
      </c>
      <c r="E671" s="55">
        <f t="shared" si="2"/>
        <v>0</v>
      </c>
      <c r="F671" s="56"/>
      <c r="G671" s="57">
        <f t="shared" si="3"/>
        <v>0</v>
      </c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  <c r="AE671" s="58"/>
      <c r="AF671" s="58"/>
    </row>
    <row r="672">
      <c r="A672" s="87"/>
      <c r="B672" s="96"/>
      <c r="C672" s="86"/>
      <c r="D672" s="54">
        <f t="shared" si="1"/>
        <v>0</v>
      </c>
      <c r="E672" s="55">
        <f t="shared" si="2"/>
        <v>0</v>
      </c>
      <c r="F672" s="56"/>
      <c r="G672" s="57">
        <f t="shared" si="3"/>
        <v>0</v>
      </c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  <c r="AE672" s="58"/>
      <c r="AF672" s="58"/>
    </row>
    <row r="673">
      <c r="A673" s="87"/>
      <c r="B673" s="96"/>
      <c r="C673" s="86"/>
      <c r="D673" s="54">
        <f t="shared" si="1"/>
        <v>0</v>
      </c>
      <c r="E673" s="55">
        <f t="shared" si="2"/>
        <v>0</v>
      </c>
      <c r="F673" s="56"/>
      <c r="G673" s="57">
        <f t="shared" si="3"/>
        <v>0</v>
      </c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  <c r="AE673" s="58"/>
      <c r="AF673" s="58"/>
    </row>
    <row r="674">
      <c r="A674" s="87"/>
      <c r="B674" s="96"/>
      <c r="C674" s="86"/>
      <c r="D674" s="54">
        <f t="shared" si="1"/>
        <v>0</v>
      </c>
      <c r="E674" s="55">
        <f t="shared" si="2"/>
        <v>0</v>
      </c>
      <c r="F674" s="56"/>
      <c r="G674" s="57">
        <f t="shared" si="3"/>
        <v>0</v>
      </c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  <c r="AE674" s="58"/>
      <c r="AF674" s="58"/>
    </row>
    <row r="675">
      <c r="A675" s="87"/>
      <c r="B675" s="96"/>
      <c r="C675" s="86"/>
      <c r="D675" s="54">
        <f t="shared" si="1"/>
        <v>0</v>
      </c>
      <c r="E675" s="55">
        <f t="shared" si="2"/>
        <v>0</v>
      </c>
      <c r="F675" s="56"/>
      <c r="G675" s="57">
        <f t="shared" si="3"/>
        <v>0</v>
      </c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  <c r="AE675" s="58"/>
      <c r="AF675" s="58"/>
    </row>
    <row r="676">
      <c r="A676" s="87"/>
      <c r="B676" s="96"/>
      <c r="C676" s="86"/>
      <c r="D676" s="54">
        <f t="shared" si="1"/>
        <v>0</v>
      </c>
      <c r="E676" s="55">
        <f t="shared" si="2"/>
        <v>0</v>
      </c>
      <c r="F676" s="56"/>
      <c r="G676" s="57">
        <f t="shared" si="3"/>
        <v>0</v>
      </c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  <c r="AE676" s="58"/>
      <c r="AF676" s="58"/>
    </row>
    <row r="677">
      <c r="A677" s="87"/>
      <c r="B677" s="96"/>
      <c r="C677" s="86"/>
      <c r="D677" s="54">
        <f t="shared" si="1"/>
        <v>0</v>
      </c>
      <c r="E677" s="55">
        <f t="shared" si="2"/>
        <v>0</v>
      </c>
      <c r="F677" s="56"/>
      <c r="G677" s="57">
        <f t="shared" si="3"/>
        <v>0</v>
      </c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  <c r="AE677" s="58"/>
      <c r="AF677" s="58"/>
    </row>
    <row r="678">
      <c r="A678" s="87"/>
      <c r="B678" s="96"/>
      <c r="C678" s="86"/>
      <c r="D678" s="54">
        <f t="shared" si="1"/>
        <v>0</v>
      </c>
      <c r="E678" s="55">
        <f t="shared" si="2"/>
        <v>0</v>
      </c>
      <c r="F678" s="56"/>
      <c r="G678" s="57">
        <f t="shared" si="3"/>
        <v>0</v>
      </c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  <c r="AE678" s="58"/>
      <c r="AF678" s="58"/>
    </row>
    <row r="679">
      <c r="A679" s="87"/>
      <c r="B679" s="96"/>
      <c r="C679" s="86"/>
      <c r="D679" s="54">
        <f t="shared" si="1"/>
        <v>0</v>
      </c>
      <c r="E679" s="55">
        <f t="shared" si="2"/>
        <v>0</v>
      </c>
      <c r="F679" s="56"/>
      <c r="G679" s="57">
        <f t="shared" si="3"/>
        <v>0</v>
      </c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  <c r="AE679" s="58"/>
      <c r="AF679" s="58"/>
    </row>
    <row r="680">
      <c r="A680" s="87"/>
      <c r="B680" s="96"/>
      <c r="C680" s="86"/>
      <c r="D680" s="54">
        <f t="shared" si="1"/>
        <v>0</v>
      </c>
      <c r="E680" s="55">
        <f t="shared" si="2"/>
        <v>0</v>
      </c>
      <c r="F680" s="56"/>
      <c r="G680" s="57">
        <f t="shared" si="3"/>
        <v>0</v>
      </c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  <c r="AE680" s="58"/>
      <c r="AF680" s="58"/>
    </row>
    <row r="681">
      <c r="A681" s="87"/>
      <c r="B681" s="96"/>
      <c r="C681" s="86"/>
      <c r="D681" s="54">
        <f t="shared" si="1"/>
        <v>0</v>
      </c>
      <c r="E681" s="55">
        <f t="shared" si="2"/>
        <v>0</v>
      </c>
      <c r="F681" s="56"/>
      <c r="G681" s="57">
        <f t="shared" si="3"/>
        <v>0</v>
      </c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  <c r="AE681" s="58"/>
      <c r="AF681" s="58"/>
    </row>
    <row r="682">
      <c r="A682" s="87"/>
      <c r="B682" s="96"/>
      <c r="C682" s="86"/>
      <c r="D682" s="54">
        <f t="shared" si="1"/>
        <v>0</v>
      </c>
      <c r="E682" s="55">
        <f t="shared" si="2"/>
        <v>0</v>
      </c>
      <c r="F682" s="56"/>
      <c r="G682" s="57">
        <f t="shared" si="3"/>
        <v>0</v>
      </c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  <c r="AE682" s="58"/>
      <c r="AF682" s="58"/>
    </row>
    <row r="683">
      <c r="A683" s="87"/>
      <c r="B683" s="96"/>
      <c r="C683" s="86"/>
      <c r="D683" s="54">
        <f t="shared" si="1"/>
        <v>0</v>
      </c>
      <c r="E683" s="55">
        <f t="shared" si="2"/>
        <v>0</v>
      </c>
      <c r="F683" s="56"/>
      <c r="G683" s="57">
        <f t="shared" si="3"/>
        <v>0</v>
      </c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  <c r="AE683" s="58"/>
      <c r="AF683" s="58"/>
    </row>
    <row r="684">
      <c r="A684" s="87"/>
      <c r="B684" s="96"/>
      <c r="C684" s="86"/>
      <c r="D684" s="54">
        <f t="shared" si="1"/>
        <v>0</v>
      </c>
      <c r="E684" s="55">
        <f t="shared" si="2"/>
        <v>0</v>
      </c>
      <c r="F684" s="56"/>
      <c r="G684" s="57">
        <f t="shared" si="3"/>
        <v>0</v>
      </c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  <c r="AE684" s="58"/>
      <c r="AF684" s="58"/>
    </row>
    <row r="685">
      <c r="A685" s="87"/>
      <c r="B685" s="96"/>
      <c r="C685" s="86"/>
      <c r="D685" s="54">
        <f t="shared" si="1"/>
        <v>0</v>
      </c>
      <c r="E685" s="55">
        <f t="shared" si="2"/>
        <v>0</v>
      </c>
      <c r="F685" s="56"/>
      <c r="G685" s="57">
        <f t="shared" si="3"/>
        <v>0</v>
      </c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  <c r="AE685" s="58"/>
      <c r="AF685" s="58"/>
    </row>
    <row r="686">
      <c r="A686" s="87"/>
      <c r="B686" s="96"/>
      <c r="C686" s="86"/>
      <c r="D686" s="54">
        <f t="shared" si="1"/>
        <v>0</v>
      </c>
      <c r="E686" s="55">
        <f t="shared" si="2"/>
        <v>0</v>
      </c>
      <c r="F686" s="56"/>
      <c r="G686" s="57">
        <f t="shared" si="3"/>
        <v>0</v>
      </c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  <c r="AE686" s="58"/>
      <c r="AF686" s="58"/>
    </row>
    <row r="687">
      <c r="A687" s="87"/>
      <c r="B687" s="96"/>
      <c r="C687" s="86"/>
      <c r="D687" s="54">
        <f t="shared" si="1"/>
        <v>0</v>
      </c>
      <c r="E687" s="55">
        <f t="shared" si="2"/>
        <v>0</v>
      </c>
      <c r="F687" s="56"/>
      <c r="G687" s="57">
        <f t="shared" si="3"/>
        <v>0</v>
      </c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  <c r="AE687" s="58"/>
      <c r="AF687" s="58"/>
    </row>
    <row r="688">
      <c r="A688" s="87"/>
      <c r="B688" s="96"/>
      <c r="C688" s="86"/>
      <c r="D688" s="54">
        <f t="shared" si="1"/>
        <v>0</v>
      </c>
      <c r="E688" s="55">
        <f t="shared" si="2"/>
        <v>0</v>
      </c>
      <c r="F688" s="56"/>
      <c r="G688" s="57">
        <f t="shared" si="3"/>
        <v>0</v>
      </c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  <c r="AE688" s="58"/>
      <c r="AF688" s="58"/>
    </row>
    <row r="689">
      <c r="A689" s="87"/>
      <c r="B689" s="96"/>
      <c r="C689" s="86"/>
      <c r="D689" s="54">
        <f t="shared" si="1"/>
        <v>0</v>
      </c>
      <c r="E689" s="55">
        <f t="shared" si="2"/>
        <v>0</v>
      </c>
      <c r="F689" s="56"/>
      <c r="G689" s="57">
        <f t="shared" si="3"/>
        <v>0</v>
      </c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  <c r="AE689" s="58"/>
      <c r="AF689" s="58"/>
    </row>
    <row r="690">
      <c r="A690" s="87"/>
      <c r="B690" s="96"/>
      <c r="C690" s="86"/>
      <c r="D690" s="54">
        <f t="shared" si="1"/>
        <v>0</v>
      </c>
      <c r="E690" s="55">
        <f t="shared" si="2"/>
        <v>0</v>
      </c>
      <c r="F690" s="56"/>
      <c r="G690" s="57">
        <f t="shared" si="3"/>
        <v>0</v>
      </c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  <c r="AE690" s="58"/>
      <c r="AF690" s="58"/>
    </row>
    <row r="691">
      <c r="A691" s="87"/>
      <c r="B691" s="96"/>
      <c r="C691" s="86"/>
      <c r="D691" s="54">
        <f t="shared" si="1"/>
        <v>0</v>
      </c>
      <c r="E691" s="55">
        <f t="shared" si="2"/>
        <v>0</v>
      </c>
      <c r="F691" s="56"/>
      <c r="G691" s="57">
        <f t="shared" si="3"/>
        <v>0</v>
      </c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  <c r="AE691" s="58"/>
      <c r="AF691" s="58"/>
    </row>
    <row r="692">
      <c r="A692" s="87"/>
      <c r="B692" s="96"/>
      <c r="C692" s="86"/>
      <c r="D692" s="54">
        <f t="shared" si="1"/>
        <v>0</v>
      </c>
      <c r="E692" s="55">
        <f t="shared" si="2"/>
        <v>0</v>
      </c>
      <c r="F692" s="56"/>
      <c r="G692" s="57">
        <f t="shared" si="3"/>
        <v>0</v>
      </c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  <c r="AE692" s="58"/>
      <c r="AF692" s="58"/>
    </row>
    <row r="693">
      <c r="A693" s="87"/>
      <c r="B693" s="96"/>
      <c r="C693" s="86"/>
      <c r="D693" s="54">
        <f t="shared" si="1"/>
        <v>0</v>
      </c>
      <c r="E693" s="55">
        <f t="shared" si="2"/>
        <v>0</v>
      </c>
      <c r="F693" s="56"/>
      <c r="G693" s="57">
        <f t="shared" si="3"/>
        <v>0</v>
      </c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  <c r="AE693" s="58"/>
      <c r="AF693" s="58"/>
    </row>
    <row r="694">
      <c r="A694" s="87"/>
      <c r="B694" s="96"/>
      <c r="C694" s="86"/>
      <c r="D694" s="54">
        <f t="shared" si="1"/>
        <v>0</v>
      </c>
      <c r="E694" s="55">
        <f t="shared" si="2"/>
        <v>0</v>
      </c>
      <c r="F694" s="56"/>
      <c r="G694" s="57">
        <f t="shared" si="3"/>
        <v>0</v>
      </c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  <c r="AE694" s="58"/>
      <c r="AF694" s="58"/>
    </row>
    <row r="695">
      <c r="A695" s="87"/>
      <c r="B695" s="96"/>
      <c r="C695" s="86"/>
      <c r="D695" s="54">
        <f t="shared" si="1"/>
        <v>0</v>
      </c>
      <c r="E695" s="55">
        <f t="shared" si="2"/>
        <v>0</v>
      </c>
      <c r="F695" s="56"/>
      <c r="G695" s="57">
        <f t="shared" si="3"/>
        <v>0</v>
      </c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  <c r="AE695" s="58"/>
      <c r="AF695" s="58"/>
    </row>
    <row r="696">
      <c r="A696" s="87"/>
      <c r="B696" s="96"/>
      <c r="C696" s="86"/>
      <c r="D696" s="54">
        <f t="shared" si="1"/>
        <v>0</v>
      </c>
      <c r="E696" s="55">
        <f t="shared" si="2"/>
        <v>0</v>
      </c>
      <c r="F696" s="56"/>
      <c r="G696" s="57">
        <f t="shared" si="3"/>
        <v>0</v>
      </c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  <c r="AE696" s="58"/>
      <c r="AF696" s="58"/>
    </row>
    <row r="697">
      <c r="A697" s="87"/>
      <c r="B697" s="96"/>
      <c r="C697" s="86"/>
      <c r="D697" s="54">
        <f t="shared" si="1"/>
        <v>0</v>
      </c>
      <c r="E697" s="55">
        <f t="shared" si="2"/>
        <v>0</v>
      </c>
      <c r="F697" s="56"/>
      <c r="G697" s="57">
        <f t="shared" si="3"/>
        <v>0</v>
      </c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  <c r="AE697" s="58"/>
      <c r="AF697" s="58"/>
    </row>
    <row r="698">
      <c r="A698" s="87"/>
      <c r="B698" s="96"/>
      <c r="C698" s="86"/>
      <c r="D698" s="54">
        <f t="shared" si="1"/>
        <v>0</v>
      </c>
      <c r="E698" s="55">
        <f t="shared" si="2"/>
        <v>0</v>
      </c>
      <c r="F698" s="56"/>
      <c r="G698" s="57">
        <f t="shared" si="3"/>
        <v>0</v>
      </c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  <c r="AE698" s="58"/>
      <c r="AF698" s="58"/>
    </row>
    <row r="699">
      <c r="A699" s="87"/>
      <c r="B699" s="96"/>
      <c r="C699" s="86"/>
      <c r="D699" s="54">
        <f t="shared" si="1"/>
        <v>0</v>
      </c>
      <c r="E699" s="55">
        <f t="shared" si="2"/>
        <v>0</v>
      </c>
      <c r="F699" s="56"/>
      <c r="G699" s="57">
        <f t="shared" si="3"/>
        <v>0</v>
      </c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  <c r="AE699" s="58"/>
      <c r="AF699" s="58"/>
    </row>
    <row r="700">
      <c r="A700" s="87"/>
      <c r="B700" s="96"/>
      <c r="C700" s="86"/>
      <c r="D700" s="54">
        <f t="shared" si="1"/>
        <v>0</v>
      </c>
      <c r="E700" s="55">
        <f t="shared" si="2"/>
        <v>0</v>
      </c>
      <c r="F700" s="56"/>
      <c r="G700" s="57">
        <f t="shared" si="3"/>
        <v>0</v>
      </c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  <c r="AE700" s="58"/>
      <c r="AF700" s="58"/>
    </row>
    <row r="701">
      <c r="A701" s="87"/>
      <c r="B701" s="96"/>
      <c r="C701" s="86"/>
      <c r="D701" s="54">
        <f t="shared" si="1"/>
        <v>0</v>
      </c>
      <c r="E701" s="55">
        <f t="shared" si="2"/>
        <v>0</v>
      </c>
      <c r="F701" s="56"/>
      <c r="G701" s="57">
        <f t="shared" si="3"/>
        <v>0</v>
      </c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  <c r="AE701" s="58"/>
      <c r="AF701" s="58"/>
    </row>
    <row r="702">
      <c r="A702" s="87"/>
      <c r="B702" s="96"/>
      <c r="C702" s="86"/>
      <c r="D702" s="54">
        <f t="shared" si="1"/>
        <v>0</v>
      </c>
      <c r="E702" s="55">
        <f t="shared" si="2"/>
        <v>0</v>
      </c>
      <c r="F702" s="56"/>
      <c r="G702" s="57">
        <f t="shared" si="3"/>
        <v>0</v>
      </c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  <c r="AE702" s="58"/>
      <c r="AF702" s="58"/>
    </row>
    <row r="703">
      <c r="A703" s="87"/>
      <c r="B703" s="96"/>
      <c r="C703" s="86"/>
      <c r="D703" s="54">
        <f t="shared" si="1"/>
        <v>0</v>
      </c>
      <c r="E703" s="55">
        <f t="shared" si="2"/>
        <v>0</v>
      </c>
      <c r="F703" s="56"/>
      <c r="G703" s="57">
        <f t="shared" si="3"/>
        <v>0</v>
      </c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  <c r="AE703" s="58"/>
      <c r="AF703" s="58"/>
    </row>
    <row r="704">
      <c r="A704" s="87"/>
      <c r="B704" s="96"/>
      <c r="C704" s="86"/>
      <c r="D704" s="54">
        <f t="shared" si="1"/>
        <v>0</v>
      </c>
      <c r="E704" s="55">
        <f t="shared" si="2"/>
        <v>0</v>
      </c>
      <c r="F704" s="56"/>
      <c r="G704" s="57">
        <f t="shared" si="3"/>
        <v>0</v>
      </c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  <c r="AE704" s="58"/>
      <c r="AF704" s="58"/>
    </row>
    <row r="705">
      <c r="A705" s="87"/>
      <c r="B705" s="96"/>
      <c r="C705" s="86"/>
      <c r="D705" s="54">
        <f t="shared" si="1"/>
        <v>0</v>
      </c>
      <c r="E705" s="55">
        <f t="shared" si="2"/>
        <v>0</v>
      </c>
      <c r="F705" s="56"/>
      <c r="G705" s="57">
        <f t="shared" si="3"/>
        <v>0</v>
      </c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  <c r="AE705" s="58"/>
      <c r="AF705" s="58"/>
    </row>
    <row r="706">
      <c r="A706" s="87"/>
      <c r="B706" s="96"/>
      <c r="C706" s="86"/>
      <c r="D706" s="54">
        <f t="shared" si="1"/>
        <v>0</v>
      </c>
      <c r="E706" s="55">
        <f t="shared" si="2"/>
        <v>0</v>
      </c>
      <c r="F706" s="56"/>
      <c r="G706" s="57">
        <f t="shared" si="3"/>
        <v>0</v>
      </c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  <c r="AE706" s="58"/>
      <c r="AF706" s="58"/>
    </row>
    <row r="707">
      <c r="A707" s="87"/>
      <c r="B707" s="96"/>
      <c r="C707" s="86"/>
      <c r="D707" s="54">
        <f t="shared" si="1"/>
        <v>0</v>
      </c>
      <c r="E707" s="55">
        <f t="shared" si="2"/>
        <v>0</v>
      </c>
      <c r="F707" s="56"/>
      <c r="G707" s="57">
        <f t="shared" si="3"/>
        <v>0</v>
      </c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  <c r="AE707" s="58"/>
      <c r="AF707" s="58"/>
    </row>
    <row r="708">
      <c r="A708" s="87"/>
      <c r="B708" s="96"/>
      <c r="C708" s="86"/>
      <c r="D708" s="54">
        <f t="shared" si="1"/>
        <v>0</v>
      </c>
      <c r="E708" s="55">
        <f t="shared" si="2"/>
        <v>0</v>
      </c>
      <c r="F708" s="56"/>
      <c r="G708" s="57">
        <f t="shared" si="3"/>
        <v>0</v>
      </c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  <c r="AE708" s="58"/>
      <c r="AF708" s="58"/>
    </row>
    <row r="709">
      <c r="A709" s="87"/>
      <c r="B709" s="96"/>
      <c r="C709" s="86"/>
      <c r="D709" s="54">
        <f t="shared" si="1"/>
        <v>0</v>
      </c>
      <c r="E709" s="55">
        <f t="shared" si="2"/>
        <v>0</v>
      </c>
      <c r="F709" s="56"/>
      <c r="G709" s="57">
        <f t="shared" si="3"/>
        <v>0</v>
      </c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  <c r="AE709" s="58"/>
      <c r="AF709" s="58"/>
    </row>
    <row r="710">
      <c r="A710" s="87"/>
      <c r="B710" s="96"/>
      <c r="C710" s="86"/>
      <c r="D710" s="54">
        <f t="shared" si="1"/>
        <v>0</v>
      </c>
      <c r="E710" s="55">
        <f t="shared" si="2"/>
        <v>0</v>
      </c>
      <c r="F710" s="56"/>
      <c r="G710" s="57">
        <f t="shared" si="3"/>
        <v>0</v>
      </c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  <c r="AE710" s="58"/>
      <c r="AF710" s="58"/>
    </row>
    <row r="711">
      <c r="A711" s="87"/>
      <c r="B711" s="96"/>
      <c r="C711" s="86"/>
      <c r="D711" s="54">
        <f t="shared" si="1"/>
        <v>0</v>
      </c>
      <c r="E711" s="55">
        <f t="shared" si="2"/>
        <v>0</v>
      </c>
      <c r="F711" s="56"/>
      <c r="G711" s="57">
        <f t="shared" si="3"/>
        <v>0</v>
      </c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  <c r="AE711" s="58"/>
      <c r="AF711" s="58"/>
    </row>
    <row r="712">
      <c r="A712" s="87"/>
      <c r="B712" s="96"/>
      <c r="C712" s="86"/>
      <c r="D712" s="54">
        <f t="shared" si="1"/>
        <v>0</v>
      </c>
      <c r="E712" s="55">
        <f t="shared" si="2"/>
        <v>0</v>
      </c>
      <c r="F712" s="56"/>
      <c r="G712" s="57">
        <f t="shared" si="3"/>
        <v>0</v>
      </c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  <c r="AE712" s="58"/>
      <c r="AF712" s="58"/>
    </row>
    <row r="713">
      <c r="A713" s="87"/>
      <c r="B713" s="96"/>
      <c r="C713" s="86"/>
      <c r="D713" s="54">
        <f t="shared" si="1"/>
        <v>0</v>
      </c>
      <c r="E713" s="55">
        <f t="shared" si="2"/>
        <v>0</v>
      </c>
      <c r="F713" s="56"/>
      <c r="G713" s="57">
        <f t="shared" si="3"/>
        <v>0</v>
      </c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  <c r="AE713" s="58"/>
      <c r="AF713" s="58"/>
    </row>
    <row r="714">
      <c r="A714" s="87"/>
      <c r="B714" s="96"/>
      <c r="C714" s="86"/>
      <c r="D714" s="54">
        <f t="shared" si="1"/>
        <v>0</v>
      </c>
      <c r="E714" s="55">
        <f t="shared" si="2"/>
        <v>0</v>
      </c>
      <c r="F714" s="56"/>
      <c r="G714" s="57">
        <f t="shared" si="3"/>
        <v>0</v>
      </c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  <c r="AE714" s="58"/>
      <c r="AF714" s="58"/>
    </row>
    <row r="715">
      <c r="A715" s="87"/>
      <c r="B715" s="96"/>
      <c r="C715" s="86"/>
      <c r="D715" s="54">
        <f t="shared" si="1"/>
        <v>0</v>
      </c>
      <c r="E715" s="55">
        <f t="shared" si="2"/>
        <v>0</v>
      </c>
      <c r="F715" s="56"/>
      <c r="G715" s="57">
        <f t="shared" si="3"/>
        <v>0</v>
      </c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  <c r="AE715" s="58"/>
      <c r="AF715" s="58"/>
    </row>
    <row r="716">
      <c r="A716" s="87"/>
      <c r="B716" s="96"/>
      <c r="C716" s="86"/>
      <c r="D716" s="54">
        <f t="shared" si="1"/>
        <v>0</v>
      </c>
      <c r="E716" s="55">
        <f t="shared" si="2"/>
        <v>0</v>
      </c>
      <c r="F716" s="56"/>
      <c r="G716" s="57">
        <f t="shared" si="3"/>
        <v>0</v>
      </c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  <c r="AE716" s="58"/>
      <c r="AF716" s="58"/>
    </row>
    <row r="717">
      <c r="A717" s="87"/>
      <c r="B717" s="96"/>
      <c r="C717" s="86"/>
      <c r="D717" s="54">
        <f t="shared" si="1"/>
        <v>0</v>
      </c>
      <c r="E717" s="55">
        <f t="shared" si="2"/>
        <v>0</v>
      </c>
      <c r="F717" s="56"/>
      <c r="G717" s="57">
        <f t="shared" si="3"/>
        <v>0</v>
      </c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  <c r="AE717" s="58"/>
      <c r="AF717" s="58"/>
    </row>
    <row r="718">
      <c r="A718" s="87"/>
      <c r="B718" s="96"/>
      <c r="C718" s="86"/>
      <c r="D718" s="54">
        <f t="shared" si="1"/>
        <v>0</v>
      </c>
      <c r="E718" s="55">
        <f t="shared" si="2"/>
        <v>0</v>
      </c>
      <c r="F718" s="56"/>
      <c r="G718" s="57">
        <f t="shared" si="3"/>
        <v>0</v>
      </c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  <c r="AE718" s="58"/>
      <c r="AF718" s="58"/>
    </row>
    <row r="719">
      <c r="A719" s="87"/>
      <c r="B719" s="96"/>
      <c r="C719" s="86"/>
      <c r="D719" s="54">
        <f t="shared" si="1"/>
        <v>0</v>
      </c>
      <c r="E719" s="55">
        <f t="shared" si="2"/>
        <v>0</v>
      </c>
      <c r="F719" s="56"/>
      <c r="G719" s="57">
        <f t="shared" si="3"/>
        <v>0</v>
      </c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  <c r="AE719" s="58"/>
      <c r="AF719" s="58"/>
    </row>
    <row r="720">
      <c r="A720" s="87"/>
      <c r="B720" s="96"/>
      <c r="C720" s="86"/>
      <c r="D720" s="54">
        <f t="shared" si="1"/>
        <v>0</v>
      </c>
      <c r="E720" s="55">
        <f t="shared" si="2"/>
        <v>0</v>
      </c>
      <c r="F720" s="56"/>
      <c r="G720" s="57">
        <f t="shared" si="3"/>
        <v>0</v>
      </c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  <c r="AE720" s="58"/>
      <c r="AF720" s="58"/>
    </row>
    <row r="721">
      <c r="A721" s="87"/>
      <c r="B721" s="96"/>
      <c r="C721" s="86"/>
      <c r="D721" s="54">
        <f t="shared" si="1"/>
        <v>0</v>
      </c>
      <c r="E721" s="55">
        <f t="shared" si="2"/>
        <v>0</v>
      </c>
      <c r="F721" s="56"/>
      <c r="G721" s="57">
        <f t="shared" si="3"/>
        <v>0</v>
      </c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  <c r="AE721" s="58"/>
      <c r="AF721" s="58"/>
    </row>
    <row r="722">
      <c r="A722" s="87"/>
      <c r="B722" s="96"/>
      <c r="C722" s="86"/>
      <c r="D722" s="54">
        <f t="shared" si="1"/>
        <v>0</v>
      </c>
      <c r="E722" s="55">
        <f t="shared" si="2"/>
        <v>0</v>
      </c>
      <c r="F722" s="56"/>
      <c r="G722" s="57">
        <f t="shared" si="3"/>
        <v>0</v>
      </c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  <c r="AE722" s="58"/>
      <c r="AF722" s="58"/>
    </row>
    <row r="723">
      <c r="A723" s="87"/>
      <c r="B723" s="96"/>
      <c r="C723" s="86"/>
      <c r="D723" s="54">
        <f t="shared" si="1"/>
        <v>0</v>
      </c>
      <c r="E723" s="55">
        <f t="shared" si="2"/>
        <v>0</v>
      </c>
      <c r="F723" s="56"/>
      <c r="G723" s="57">
        <f t="shared" si="3"/>
        <v>0</v>
      </c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  <c r="AE723" s="58"/>
      <c r="AF723" s="58"/>
    </row>
    <row r="724">
      <c r="A724" s="87"/>
      <c r="B724" s="96"/>
      <c r="C724" s="86"/>
      <c r="D724" s="54">
        <f t="shared" si="1"/>
        <v>0</v>
      </c>
      <c r="E724" s="55">
        <f t="shared" si="2"/>
        <v>0</v>
      </c>
      <c r="F724" s="56"/>
      <c r="G724" s="57">
        <f t="shared" si="3"/>
        <v>0</v>
      </c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  <c r="AE724" s="58"/>
      <c r="AF724" s="58"/>
    </row>
    <row r="725">
      <c r="A725" s="87"/>
      <c r="B725" s="96"/>
      <c r="C725" s="86"/>
      <c r="D725" s="54">
        <f t="shared" si="1"/>
        <v>0</v>
      </c>
      <c r="E725" s="55">
        <f t="shared" si="2"/>
        <v>0</v>
      </c>
      <c r="F725" s="56"/>
      <c r="G725" s="57">
        <f t="shared" si="3"/>
        <v>0</v>
      </c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  <c r="AE725" s="58"/>
      <c r="AF725" s="58"/>
    </row>
    <row r="726">
      <c r="A726" s="87"/>
      <c r="B726" s="96"/>
      <c r="C726" s="86"/>
      <c r="D726" s="54">
        <f t="shared" si="1"/>
        <v>0</v>
      </c>
      <c r="E726" s="55">
        <f t="shared" si="2"/>
        <v>0</v>
      </c>
      <c r="F726" s="56"/>
      <c r="G726" s="57">
        <f t="shared" si="3"/>
        <v>0</v>
      </c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  <c r="AE726" s="58"/>
      <c r="AF726" s="58"/>
    </row>
    <row r="727">
      <c r="A727" s="87"/>
      <c r="B727" s="96"/>
      <c r="C727" s="86"/>
      <c r="D727" s="54">
        <f t="shared" si="1"/>
        <v>0</v>
      </c>
      <c r="E727" s="55">
        <f t="shared" si="2"/>
        <v>0</v>
      </c>
      <c r="F727" s="56"/>
      <c r="G727" s="57">
        <f t="shared" si="3"/>
        <v>0</v>
      </c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  <c r="AE727" s="58"/>
      <c r="AF727" s="58"/>
    </row>
    <row r="728">
      <c r="A728" s="87"/>
      <c r="B728" s="96"/>
      <c r="C728" s="86"/>
      <c r="D728" s="54">
        <f t="shared" si="1"/>
        <v>0</v>
      </c>
      <c r="E728" s="55">
        <f t="shared" si="2"/>
        <v>0</v>
      </c>
      <c r="F728" s="56"/>
      <c r="G728" s="57">
        <f t="shared" si="3"/>
        <v>0</v>
      </c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  <c r="AE728" s="58"/>
      <c r="AF728" s="58"/>
    </row>
    <row r="729">
      <c r="A729" s="87"/>
      <c r="B729" s="96"/>
      <c r="C729" s="86"/>
      <c r="D729" s="54">
        <f t="shared" si="1"/>
        <v>0</v>
      </c>
      <c r="E729" s="55">
        <f t="shared" si="2"/>
        <v>0</v>
      </c>
      <c r="F729" s="56"/>
      <c r="G729" s="57">
        <f t="shared" si="3"/>
        <v>0</v>
      </c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  <c r="AE729" s="58"/>
      <c r="AF729" s="58"/>
    </row>
    <row r="730">
      <c r="A730" s="87"/>
      <c r="B730" s="96"/>
      <c r="C730" s="86"/>
      <c r="D730" s="54">
        <f t="shared" si="1"/>
        <v>0</v>
      </c>
      <c r="E730" s="55">
        <f t="shared" si="2"/>
        <v>0</v>
      </c>
      <c r="F730" s="56"/>
      <c r="G730" s="57">
        <f t="shared" si="3"/>
        <v>0</v>
      </c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  <c r="AE730" s="58"/>
      <c r="AF730" s="58"/>
    </row>
    <row r="731">
      <c r="A731" s="87"/>
      <c r="B731" s="96"/>
      <c r="C731" s="86"/>
      <c r="D731" s="54">
        <f t="shared" si="1"/>
        <v>0</v>
      </c>
      <c r="E731" s="55">
        <f t="shared" si="2"/>
        <v>0</v>
      </c>
      <c r="F731" s="56"/>
      <c r="G731" s="57">
        <f t="shared" si="3"/>
        <v>0</v>
      </c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  <c r="AE731" s="58"/>
      <c r="AF731" s="58"/>
    </row>
    <row r="732">
      <c r="A732" s="87"/>
      <c r="B732" s="96"/>
      <c r="C732" s="86"/>
      <c r="D732" s="54">
        <f t="shared" si="1"/>
        <v>0</v>
      </c>
      <c r="E732" s="55">
        <f t="shared" si="2"/>
        <v>0</v>
      </c>
      <c r="F732" s="56"/>
      <c r="G732" s="57">
        <f t="shared" si="3"/>
        <v>0</v>
      </c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  <c r="AE732" s="58"/>
      <c r="AF732" s="58"/>
    </row>
    <row r="733">
      <c r="A733" s="87"/>
      <c r="B733" s="96"/>
      <c r="C733" s="86"/>
      <c r="D733" s="54">
        <f t="shared" si="1"/>
        <v>0</v>
      </c>
      <c r="E733" s="55">
        <f t="shared" si="2"/>
        <v>0</v>
      </c>
      <c r="F733" s="56"/>
      <c r="G733" s="57">
        <f t="shared" si="3"/>
        <v>0</v>
      </c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  <c r="AE733" s="58"/>
      <c r="AF733" s="58"/>
    </row>
    <row r="734">
      <c r="A734" s="87"/>
      <c r="B734" s="96"/>
      <c r="C734" s="86"/>
      <c r="D734" s="54">
        <f t="shared" si="1"/>
        <v>0</v>
      </c>
      <c r="E734" s="55">
        <f t="shared" si="2"/>
        <v>0</v>
      </c>
      <c r="F734" s="56"/>
      <c r="G734" s="57">
        <f t="shared" si="3"/>
        <v>0</v>
      </c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  <c r="AE734" s="58"/>
      <c r="AF734" s="58"/>
    </row>
    <row r="735">
      <c r="A735" s="87"/>
      <c r="B735" s="96"/>
      <c r="C735" s="86"/>
      <c r="D735" s="54">
        <f t="shared" si="1"/>
        <v>0</v>
      </c>
      <c r="E735" s="55">
        <f t="shared" si="2"/>
        <v>0</v>
      </c>
      <c r="F735" s="56"/>
      <c r="G735" s="57">
        <f t="shared" si="3"/>
        <v>0</v>
      </c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  <c r="AE735" s="58"/>
      <c r="AF735" s="58"/>
    </row>
    <row r="736">
      <c r="A736" s="87"/>
      <c r="B736" s="96"/>
      <c r="C736" s="86"/>
      <c r="D736" s="54">
        <f t="shared" si="1"/>
        <v>0</v>
      </c>
      <c r="E736" s="55">
        <f t="shared" si="2"/>
        <v>0</v>
      </c>
      <c r="F736" s="56"/>
      <c r="G736" s="57">
        <f t="shared" si="3"/>
        <v>0</v>
      </c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  <c r="AE736" s="58"/>
      <c r="AF736" s="58"/>
    </row>
    <row r="737">
      <c r="A737" s="87"/>
      <c r="B737" s="96"/>
      <c r="C737" s="86"/>
      <c r="D737" s="54">
        <f t="shared" si="1"/>
        <v>0</v>
      </c>
      <c r="E737" s="55">
        <f t="shared" si="2"/>
        <v>0</v>
      </c>
      <c r="F737" s="56"/>
      <c r="G737" s="57">
        <f t="shared" si="3"/>
        <v>0</v>
      </c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  <c r="AE737" s="58"/>
      <c r="AF737" s="58"/>
    </row>
    <row r="738">
      <c r="A738" s="87"/>
      <c r="B738" s="96"/>
      <c r="C738" s="86"/>
      <c r="D738" s="54">
        <f t="shared" si="1"/>
        <v>0</v>
      </c>
      <c r="E738" s="55">
        <f t="shared" si="2"/>
        <v>0</v>
      </c>
      <c r="F738" s="56"/>
      <c r="G738" s="57">
        <f t="shared" si="3"/>
        <v>0</v>
      </c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  <c r="AE738" s="58"/>
      <c r="AF738" s="58"/>
    </row>
    <row r="739">
      <c r="A739" s="87"/>
      <c r="B739" s="96"/>
      <c r="C739" s="86"/>
      <c r="D739" s="54">
        <f t="shared" si="1"/>
        <v>0</v>
      </c>
      <c r="E739" s="55">
        <f t="shared" si="2"/>
        <v>0</v>
      </c>
      <c r="F739" s="56"/>
      <c r="G739" s="57">
        <f t="shared" si="3"/>
        <v>0</v>
      </c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  <c r="AE739" s="58"/>
      <c r="AF739" s="58"/>
    </row>
    <row r="740">
      <c r="A740" s="87"/>
      <c r="B740" s="96"/>
      <c r="C740" s="86"/>
      <c r="D740" s="54">
        <f t="shared" si="1"/>
        <v>0</v>
      </c>
      <c r="E740" s="55">
        <f t="shared" si="2"/>
        <v>0</v>
      </c>
      <c r="F740" s="56"/>
      <c r="G740" s="57">
        <f t="shared" si="3"/>
        <v>0</v>
      </c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  <c r="AE740" s="58"/>
      <c r="AF740" s="58"/>
    </row>
    <row r="741">
      <c r="A741" s="87"/>
      <c r="B741" s="96"/>
      <c r="C741" s="86"/>
      <c r="D741" s="54">
        <f t="shared" si="1"/>
        <v>0</v>
      </c>
      <c r="E741" s="55">
        <f t="shared" si="2"/>
        <v>0</v>
      </c>
      <c r="F741" s="56"/>
      <c r="G741" s="57">
        <f t="shared" si="3"/>
        <v>0</v>
      </c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  <c r="AE741" s="58"/>
      <c r="AF741" s="58"/>
    </row>
    <row r="742">
      <c r="A742" s="87"/>
      <c r="B742" s="96"/>
      <c r="C742" s="86"/>
      <c r="D742" s="54">
        <f t="shared" si="1"/>
        <v>0</v>
      </c>
      <c r="E742" s="55">
        <f t="shared" si="2"/>
        <v>0</v>
      </c>
      <c r="F742" s="56"/>
      <c r="G742" s="57">
        <f t="shared" si="3"/>
        <v>0</v>
      </c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  <c r="AE742" s="58"/>
      <c r="AF742" s="58"/>
    </row>
    <row r="743">
      <c r="A743" s="87"/>
      <c r="B743" s="96"/>
      <c r="C743" s="86"/>
      <c r="D743" s="54">
        <f t="shared" si="1"/>
        <v>0</v>
      </c>
      <c r="E743" s="55">
        <f t="shared" si="2"/>
        <v>0</v>
      </c>
      <c r="F743" s="56"/>
      <c r="G743" s="57">
        <f t="shared" si="3"/>
        <v>0</v>
      </c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  <c r="AE743" s="58"/>
      <c r="AF743" s="58"/>
    </row>
    <row r="744">
      <c r="A744" s="87"/>
      <c r="B744" s="96"/>
      <c r="C744" s="86"/>
      <c r="D744" s="54">
        <f t="shared" si="1"/>
        <v>0</v>
      </c>
      <c r="E744" s="55">
        <f t="shared" si="2"/>
        <v>0</v>
      </c>
      <c r="F744" s="56"/>
      <c r="G744" s="57">
        <f t="shared" si="3"/>
        <v>0</v>
      </c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  <c r="AE744" s="58"/>
      <c r="AF744" s="58"/>
    </row>
    <row r="745">
      <c r="A745" s="87"/>
      <c r="B745" s="96"/>
      <c r="C745" s="86"/>
      <c r="D745" s="54">
        <f t="shared" si="1"/>
        <v>0</v>
      </c>
      <c r="E745" s="55">
        <f t="shared" si="2"/>
        <v>0</v>
      </c>
      <c r="F745" s="56"/>
      <c r="G745" s="57">
        <f t="shared" si="3"/>
        <v>0</v>
      </c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  <c r="AE745" s="58"/>
      <c r="AF745" s="58"/>
    </row>
    <row r="746">
      <c r="A746" s="87"/>
      <c r="B746" s="96"/>
      <c r="C746" s="86"/>
      <c r="D746" s="54">
        <f t="shared" si="1"/>
        <v>0</v>
      </c>
      <c r="E746" s="55">
        <f t="shared" si="2"/>
        <v>0</v>
      </c>
      <c r="F746" s="56"/>
      <c r="G746" s="57">
        <f t="shared" si="3"/>
        <v>0</v>
      </c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  <c r="AE746" s="58"/>
      <c r="AF746" s="58"/>
    </row>
    <row r="747">
      <c r="A747" s="87"/>
      <c r="B747" s="96"/>
      <c r="C747" s="86"/>
      <c r="D747" s="54">
        <f t="shared" si="1"/>
        <v>0</v>
      </c>
      <c r="E747" s="55">
        <f t="shared" si="2"/>
        <v>0</v>
      </c>
      <c r="F747" s="56"/>
      <c r="G747" s="57">
        <f t="shared" si="3"/>
        <v>0</v>
      </c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  <c r="AE747" s="58"/>
      <c r="AF747" s="58"/>
    </row>
    <row r="748">
      <c r="A748" s="87"/>
      <c r="B748" s="96"/>
      <c r="C748" s="86"/>
      <c r="D748" s="54">
        <f t="shared" si="1"/>
        <v>0</v>
      </c>
      <c r="E748" s="55">
        <f t="shared" si="2"/>
        <v>0</v>
      </c>
      <c r="F748" s="56"/>
      <c r="G748" s="57">
        <f t="shared" si="3"/>
        <v>0</v>
      </c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  <c r="AE748" s="58"/>
      <c r="AF748" s="58"/>
    </row>
    <row r="749">
      <c r="A749" s="87"/>
      <c r="B749" s="96"/>
      <c r="C749" s="86"/>
      <c r="D749" s="54">
        <f t="shared" si="1"/>
        <v>0</v>
      </c>
      <c r="E749" s="55">
        <f t="shared" si="2"/>
        <v>0</v>
      </c>
      <c r="F749" s="56"/>
      <c r="G749" s="57">
        <f t="shared" si="3"/>
        <v>0</v>
      </c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  <c r="AE749" s="58"/>
      <c r="AF749" s="58"/>
    </row>
    <row r="750">
      <c r="A750" s="87"/>
      <c r="B750" s="96"/>
      <c r="C750" s="86"/>
      <c r="D750" s="54">
        <f t="shared" si="1"/>
        <v>0</v>
      </c>
      <c r="E750" s="55">
        <f t="shared" si="2"/>
        <v>0</v>
      </c>
      <c r="F750" s="56"/>
      <c r="G750" s="57">
        <f t="shared" si="3"/>
        <v>0</v>
      </c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  <c r="AE750" s="58"/>
      <c r="AF750" s="58"/>
    </row>
    <row r="751">
      <c r="A751" s="87"/>
      <c r="B751" s="96"/>
      <c r="C751" s="86"/>
      <c r="D751" s="54">
        <f t="shared" si="1"/>
        <v>0</v>
      </c>
      <c r="E751" s="55">
        <f t="shared" si="2"/>
        <v>0</v>
      </c>
      <c r="F751" s="56"/>
      <c r="G751" s="57">
        <f t="shared" si="3"/>
        <v>0</v>
      </c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  <c r="AE751" s="58"/>
      <c r="AF751" s="58"/>
    </row>
    <row r="752">
      <c r="A752" s="87"/>
      <c r="B752" s="96"/>
      <c r="C752" s="86"/>
      <c r="D752" s="54">
        <f t="shared" si="1"/>
        <v>0</v>
      </c>
      <c r="E752" s="55">
        <f t="shared" si="2"/>
        <v>0</v>
      </c>
      <c r="F752" s="56"/>
      <c r="G752" s="57">
        <f t="shared" si="3"/>
        <v>0</v>
      </c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  <c r="AE752" s="58"/>
      <c r="AF752" s="58"/>
    </row>
    <row r="753">
      <c r="A753" s="87"/>
      <c r="B753" s="96"/>
      <c r="C753" s="86"/>
      <c r="D753" s="54">
        <f t="shared" si="1"/>
        <v>0</v>
      </c>
      <c r="E753" s="55">
        <f t="shared" si="2"/>
        <v>0</v>
      </c>
      <c r="F753" s="56"/>
      <c r="G753" s="57">
        <f t="shared" si="3"/>
        <v>0</v>
      </c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  <c r="AE753" s="58"/>
      <c r="AF753" s="58"/>
    </row>
    <row r="754">
      <c r="A754" s="87"/>
      <c r="B754" s="96"/>
      <c r="C754" s="86"/>
      <c r="D754" s="54">
        <f t="shared" si="1"/>
        <v>0</v>
      </c>
      <c r="E754" s="55">
        <f t="shared" si="2"/>
        <v>0</v>
      </c>
      <c r="F754" s="56"/>
      <c r="G754" s="57">
        <f t="shared" si="3"/>
        <v>0</v>
      </c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  <c r="AE754" s="58"/>
      <c r="AF754" s="58"/>
    </row>
    <row r="755">
      <c r="A755" s="87"/>
      <c r="B755" s="96"/>
      <c r="C755" s="86"/>
      <c r="D755" s="54">
        <f t="shared" si="1"/>
        <v>0</v>
      </c>
      <c r="E755" s="55">
        <f t="shared" si="2"/>
        <v>0</v>
      </c>
      <c r="F755" s="56"/>
      <c r="G755" s="57">
        <f t="shared" si="3"/>
        <v>0</v>
      </c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  <c r="AE755" s="58"/>
      <c r="AF755" s="58"/>
    </row>
    <row r="756">
      <c r="A756" s="87"/>
      <c r="B756" s="96"/>
      <c r="C756" s="86"/>
      <c r="D756" s="54">
        <f t="shared" si="1"/>
        <v>0</v>
      </c>
      <c r="E756" s="55">
        <f t="shared" si="2"/>
        <v>0</v>
      </c>
      <c r="F756" s="56"/>
      <c r="G756" s="57">
        <f t="shared" si="3"/>
        <v>0</v>
      </c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  <c r="AE756" s="58"/>
      <c r="AF756" s="58"/>
    </row>
    <row r="757">
      <c r="A757" s="87"/>
      <c r="B757" s="96"/>
      <c r="C757" s="86"/>
      <c r="D757" s="54">
        <f t="shared" si="1"/>
        <v>0</v>
      </c>
      <c r="E757" s="55">
        <f t="shared" si="2"/>
        <v>0</v>
      </c>
      <c r="F757" s="56"/>
      <c r="G757" s="57">
        <f t="shared" si="3"/>
        <v>0</v>
      </c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  <c r="AE757" s="58"/>
      <c r="AF757" s="58"/>
    </row>
    <row r="758">
      <c r="A758" s="87"/>
      <c r="B758" s="96"/>
      <c r="C758" s="86"/>
      <c r="D758" s="54">
        <f t="shared" si="1"/>
        <v>0</v>
      </c>
      <c r="E758" s="55">
        <f t="shared" si="2"/>
        <v>0</v>
      </c>
      <c r="F758" s="56"/>
      <c r="G758" s="57">
        <f t="shared" si="3"/>
        <v>0</v>
      </c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  <c r="AE758" s="58"/>
      <c r="AF758" s="58"/>
    </row>
    <row r="759">
      <c r="A759" s="87"/>
      <c r="B759" s="96"/>
      <c r="C759" s="86"/>
      <c r="D759" s="54">
        <f t="shared" si="1"/>
        <v>0</v>
      </c>
      <c r="E759" s="55">
        <f t="shared" si="2"/>
        <v>0</v>
      </c>
      <c r="F759" s="56"/>
      <c r="G759" s="57">
        <f t="shared" si="3"/>
        <v>0</v>
      </c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  <c r="AE759" s="58"/>
      <c r="AF759" s="58"/>
    </row>
    <row r="760">
      <c r="A760" s="87"/>
      <c r="B760" s="96"/>
      <c r="C760" s="86"/>
      <c r="D760" s="54">
        <f t="shared" si="1"/>
        <v>0</v>
      </c>
      <c r="E760" s="55">
        <f t="shared" si="2"/>
        <v>0</v>
      </c>
      <c r="F760" s="56"/>
      <c r="G760" s="57">
        <f t="shared" si="3"/>
        <v>0</v>
      </c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  <c r="AE760" s="58"/>
      <c r="AF760" s="58"/>
    </row>
    <row r="761">
      <c r="A761" s="87"/>
      <c r="B761" s="96"/>
      <c r="C761" s="86"/>
      <c r="D761" s="54">
        <f t="shared" si="1"/>
        <v>0</v>
      </c>
      <c r="E761" s="55">
        <f t="shared" si="2"/>
        <v>0</v>
      </c>
      <c r="F761" s="56"/>
      <c r="G761" s="57">
        <f t="shared" si="3"/>
        <v>0</v>
      </c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  <c r="AE761" s="58"/>
      <c r="AF761" s="58"/>
    </row>
    <row r="762">
      <c r="A762" s="87"/>
      <c r="B762" s="96"/>
      <c r="C762" s="86"/>
      <c r="D762" s="54">
        <f t="shared" si="1"/>
        <v>0</v>
      </c>
      <c r="E762" s="55">
        <f t="shared" si="2"/>
        <v>0</v>
      </c>
      <c r="F762" s="56"/>
      <c r="G762" s="57">
        <f t="shared" si="3"/>
        <v>0</v>
      </c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  <c r="AE762" s="58"/>
      <c r="AF762" s="58"/>
    </row>
    <row r="763">
      <c r="A763" s="87"/>
      <c r="B763" s="96"/>
      <c r="C763" s="86"/>
      <c r="D763" s="54">
        <f t="shared" si="1"/>
        <v>0</v>
      </c>
      <c r="E763" s="55">
        <f t="shared" si="2"/>
        <v>0</v>
      </c>
      <c r="F763" s="56"/>
      <c r="G763" s="57">
        <f t="shared" si="3"/>
        <v>0</v>
      </c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  <c r="AE763" s="58"/>
      <c r="AF763" s="58"/>
    </row>
    <row r="764">
      <c r="A764" s="87"/>
      <c r="B764" s="96"/>
      <c r="C764" s="86"/>
      <c r="D764" s="54">
        <f t="shared" si="1"/>
        <v>0</v>
      </c>
      <c r="E764" s="55">
        <f t="shared" si="2"/>
        <v>0</v>
      </c>
      <c r="F764" s="56"/>
      <c r="G764" s="57">
        <f t="shared" si="3"/>
        <v>0</v>
      </c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  <c r="AE764" s="58"/>
      <c r="AF764" s="58"/>
    </row>
    <row r="765">
      <c r="A765" s="87"/>
      <c r="B765" s="96"/>
      <c r="C765" s="86"/>
      <c r="D765" s="54">
        <f t="shared" si="1"/>
        <v>0</v>
      </c>
      <c r="E765" s="55">
        <f t="shared" si="2"/>
        <v>0</v>
      </c>
      <c r="F765" s="56"/>
      <c r="G765" s="57">
        <f t="shared" si="3"/>
        <v>0</v>
      </c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  <c r="AE765" s="58"/>
      <c r="AF765" s="58"/>
    </row>
    <row r="766">
      <c r="A766" s="87"/>
      <c r="B766" s="96"/>
      <c r="C766" s="86"/>
      <c r="D766" s="54">
        <f t="shared" si="1"/>
        <v>0</v>
      </c>
      <c r="E766" s="55">
        <f t="shared" si="2"/>
        <v>0</v>
      </c>
      <c r="F766" s="56"/>
      <c r="G766" s="57">
        <f t="shared" si="3"/>
        <v>0</v>
      </c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  <c r="AE766" s="58"/>
      <c r="AF766" s="58"/>
    </row>
    <row r="767">
      <c r="A767" s="87"/>
      <c r="B767" s="96"/>
      <c r="C767" s="86"/>
      <c r="D767" s="54">
        <f t="shared" si="1"/>
        <v>0</v>
      </c>
      <c r="E767" s="55">
        <f t="shared" si="2"/>
        <v>0</v>
      </c>
      <c r="F767" s="56"/>
      <c r="G767" s="57">
        <f t="shared" si="3"/>
        <v>0</v>
      </c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  <c r="AE767" s="58"/>
      <c r="AF767" s="58"/>
    </row>
    <row r="768">
      <c r="A768" s="87"/>
      <c r="B768" s="96"/>
      <c r="C768" s="86"/>
      <c r="D768" s="54">
        <f t="shared" si="1"/>
        <v>0</v>
      </c>
      <c r="E768" s="55">
        <f t="shared" si="2"/>
        <v>0</v>
      </c>
      <c r="F768" s="56"/>
      <c r="G768" s="57">
        <f t="shared" si="3"/>
        <v>0</v>
      </c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  <c r="AE768" s="58"/>
      <c r="AF768" s="58"/>
    </row>
    <row r="769">
      <c r="A769" s="87"/>
      <c r="B769" s="96"/>
      <c r="C769" s="86"/>
      <c r="D769" s="54">
        <f t="shared" si="1"/>
        <v>0</v>
      </c>
      <c r="E769" s="55">
        <f t="shared" si="2"/>
        <v>0</v>
      </c>
      <c r="F769" s="56"/>
      <c r="G769" s="57">
        <f t="shared" si="3"/>
        <v>0</v>
      </c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  <c r="AE769" s="58"/>
      <c r="AF769" s="58"/>
    </row>
    <row r="770">
      <c r="A770" s="87"/>
      <c r="B770" s="96"/>
      <c r="C770" s="86"/>
      <c r="D770" s="54">
        <f t="shared" si="1"/>
        <v>0</v>
      </c>
      <c r="E770" s="55">
        <f t="shared" si="2"/>
        <v>0</v>
      </c>
      <c r="F770" s="56"/>
      <c r="G770" s="57">
        <f t="shared" si="3"/>
        <v>0</v>
      </c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  <c r="AE770" s="58"/>
      <c r="AF770" s="58"/>
    </row>
    <row r="771">
      <c r="A771" s="87"/>
      <c r="B771" s="96"/>
      <c r="C771" s="86"/>
      <c r="D771" s="54">
        <f t="shared" si="1"/>
        <v>0</v>
      </c>
      <c r="E771" s="55">
        <f t="shared" si="2"/>
        <v>0</v>
      </c>
      <c r="F771" s="56"/>
      <c r="G771" s="57">
        <f t="shared" si="3"/>
        <v>0</v>
      </c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  <c r="AE771" s="58"/>
      <c r="AF771" s="58"/>
    </row>
    <row r="772">
      <c r="A772" s="87"/>
      <c r="B772" s="96"/>
      <c r="C772" s="86"/>
      <c r="D772" s="54">
        <f t="shared" si="1"/>
        <v>0</v>
      </c>
      <c r="E772" s="55">
        <f t="shared" si="2"/>
        <v>0</v>
      </c>
      <c r="F772" s="56"/>
      <c r="G772" s="57">
        <f t="shared" si="3"/>
        <v>0</v>
      </c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  <c r="AE772" s="58"/>
      <c r="AF772" s="58"/>
    </row>
    <row r="773">
      <c r="A773" s="87"/>
      <c r="B773" s="96"/>
      <c r="C773" s="86"/>
      <c r="D773" s="54">
        <f t="shared" si="1"/>
        <v>0</v>
      </c>
      <c r="E773" s="55">
        <f t="shared" si="2"/>
        <v>0</v>
      </c>
      <c r="F773" s="56"/>
      <c r="G773" s="57">
        <f t="shared" si="3"/>
        <v>0</v>
      </c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  <c r="AE773" s="58"/>
      <c r="AF773" s="58"/>
    </row>
    <row r="774">
      <c r="A774" s="87"/>
      <c r="B774" s="96"/>
      <c r="C774" s="86"/>
      <c r="D774" s="54">
        <f t="shared" si="1"/>
        <v>0</v>
      </c>
      <c r="E774" s="55">
        <f t="shared" si="2"/>
        <v>0</v>
      </c>
      <c r="F774" s="56"/>
      <c r="G774" s="57">
        <f t="shared" si="3"/>
        <v>0</v>
      </c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  <c r="AE774" s="58"/>
      <c r="AF774" s="58"/>
    </row>
    <row r="775">
      <c r="A775" s="87"/>
      <c r="B775" s="96"/>
      <c r="C775" s="86"/>
      <c r="D775" s="54">
        <f t="shared" si="1"/>
        <v>0</v>
      </c>
      <c r="E775" s="55">
        <f t="shared" si="2"/>
        <v>0</v>
      </c>
      <c r="F775" s="56"/>
      <c r="G775" s="57">
        <f t="shared" si="3"/>
        <v>0</v>
      </c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  <c r="AE775" s="58"/>
      <c r="AF775" s="58"/>
    </row>
    <row r="776">
      <c r="A776" s="87"/>
      <c r="B776" s="96"/>
      <c r="C776" s="86"/>
      <c r="D776" s="54">
        <f t="shared" si="1"/>
        <v>0</v>
      </c>
      <c r="E776" s="55">
        <f t="shared" si="2"/>
        <v>0</v>
      </c>
      <c r="F776" s="56"/>
      <c r="G776" s="57">
        <f t="shared" si="3"/>
        <v>0</v>
      </c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  <c r="AE776" s="58"/>
      <c r="AF776" s="58"/>
    </row>
    <row r="777">
      <c r="A777" s="87"/>
      <c r="B777" s="96"/>
      <c r="C777" s="86"/>
      <c r="D777" s="54">
        <f t="shared" si="1"/>
        <v>0</v>
      </c>
      <c r="E777" s="55">
        <f t="shared" si="2"/>
        <v>0</v>
      </c>
      <c r="F777" s="56"/>
      <c r="G777" s="57">
        <f t="shared" si="3"/>
        <v>0</v>
      </c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  <c r="AE777" s="58"/>
      <c r="AF777" s="58"/>
    </row>
    <row r="778">
      <c r="A778" s="87"/>
      <c r="B778" s="96"/>
      <c r="C778" s="86"/>
      <c r="D778" s="54">
        <f t="shared" si="1"/>
        <v>0</v>
      </c>
      <c r="E778" s="55">
        <f t="shared" si="2"/>
        <v>0</v>
      </c>
      <c r="F778" s="56"/>
      <c r="G778" s="57">
        <f t="shared" si="3"/>
        <v>0</v>
      </c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  <c r="AE778" s="58"/>
      <c r="AF778" s="58"/>
    </row>
    <row r="779">
      <c r="A779" s="87"/>
      <c r="B779" s="96"/>
      <c r="C779" s="86"/>
      <c r="D779" s="54">
        <f t="shared" si="1"/>
        <v>0</v>
      </c>
      <c r="E779" s="55">
        <f t="shared" si="2"/>
        <v>0</v>
      </c>
      <c r="F779" s="56"/>
      <c r="G779" s="57">
        <f t="shared" si="3"/>
        <v>0</v>
      </c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  <c r="AE779" s="58"/>
      <c r="AF779" s="58"/>
    </row>
    <row r="780">
      <c r="A780" s="87"/>
      <c r="B780" s="96"/>
      <c r="C780" s="86"/>
      <c r="D780" s="54">
        <f t="shared" si="1"/>
        <v>0</v>
      </c>
      <c r="E780" s="55">
        <f t="shared" si="2"/>
        <v>0</v>
      </c>
      <c r="F780" s="56"/>
      <c r="G780" s="57">
        <f t="shared" si="3"/>
        <v>0</v>
      </c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  <c r="AE780" s="58"/>
      <c r="AF780" s="58"/>
    </row>
    <row r="781">
      <c r="A781" s="87"/>
      <c r="B781" s="96"/>
      <c r="C781" s="86"/>
      <c r="D781" s="54">
        <f t="shared" si="1"/>
        <v>0</v>
      </c>
      <c r="E781" s="55">
        <f t="shared" si="2"/>
        <v>0</v>
      </c>
      <c r="F781" s="56"/>
      <c r="G781" s="57">
        <f t="shared" si="3"/>
        <v>0</v>
      </c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  <c r="AE781" s="58"/>
      <c r="AF781" s="58"/>
    </row>
    <row r="782">
      <c r="A782" s="87"/>
      <c r="B782" s="96"/>
      <c r="C782" s="86"/>
      <c r="D782" s="54">
        <f t="shared" si="1"/>
        <v>0</v>
      </c>
      <c r="E782" s="55">
        <f t="shared" si="2"/>
        <v>0</v>
      </c>
      <c r="F782" s="56"/>
      <c r="G782" s="57">
        <f t="shared" si="3"/>
        <v>0</v>
      </c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  <c r="AE782" s="58"/>
      <c r="AF782" s="58"/>
    </row>
    <row r="783">
      <c r="A783" s="87"/>
      <c r="B783" s="96"/>
      <c r="C783" s="86"/>
      <c r="D783" s="54">
        <f t="shared" si="1"/>
        <v>0</v>
      </c>
      <c r="E783" s="55">
        <f t="shared" si="2"/>
        <v>0</v>
      </c>
      <c r="F783" s="56"/>
      <c r="G783" s="57">
        <f t="shared" si="3"/>
        <v>0</v>
      </c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  <c r="AE783" s="58"/>
      <c r="AF783" s="58"/>
    </row>
    <row r="784">
      <c r="A784" s="87"/>
      <c r="B784" s="96"/>
      <c r="C784" s="86"/>
      <c r="D784" s="54">
        <f t="shared" si="1"/>
        <v>0</v>
      </c>
      <c r="E784" s="55">
        <f t="shared" si="2"/>
        <v>0</v>
      </c>
      <c r="F784" s="56"/>
      <c r="G784" s="57">
        <f t="shared" si="3"/>
        <v>0</v>
      </c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  <c r="AE784" s="58"/>
      <c r="AF784" s="58"/>
    </row>
    <row r="785">
      <c r="A785" s="87"/>
      <c r="B785" s="96"/>
      <c r="C785" s="86"/>
      <c r="D785" s="54">
        <f t="shared" si="1"/>
        <v>0</v>
      </c>
      <c r="E785" s="55">
        <f t="shared" si="2"/>
        <v>0</v>
      </c>
      <c r="F785" s="56"/>
      <c r="G785" s="57">
        <f t="shared" si="3"/>
        <v>0</v>
      </c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  <c r="AE785" s="58"/>
      <c r="AF785" s="58"/>
    </row>
    <row r="786">
      <c r="A786" s="87"/>
      <c r="B786" s="96"/>
      <c r="C786" s="86"/>
      <c r="D786" s="54">
        <f t="shared" si="1"/>
        <v>0</v>
      </c>
      <c r="E786" s="55">
        <f t="shared" si="2"/>
        <v>0</v>
      </c>
      <c r="F786" s="56"/>
      <c r="G786" s="57">
        <f t="shared" si="3"/>
        <v>0</v>
      </c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  <c r="AE786" s="58"/>
      <c r="AF786" s="58"/>
    </row>
    <row r="787">
      <c r="A787" s="87"/>
      <c r="B787" s="96"/>
      <c r="C787" s="86"/>
      <c r="D787" s="54">
        <f t="shared" si="1"/>
        <v>0</v>
      </c>
      <c r="E787" s="55">
        <f t="shared" si="2"/>
        <v>0</v>
      </c>
      <c r="F787" s="56"/>
      <c r="G787" s="57">
        <f t="shared" si="3"/>
        <v>0</v>
      </c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  <c r="AE787" s="58"/>
      <c r="AF787" s="58"/>
    </row>
    <row r="788">
      <c r="A788" s="87"/>
      <c r="B788" s="96"/>
      <c r="C788" s="86"/>
      <c r="D788" s="54">
        <f t="shared" si="1"/>
        <v>0</v>
      </c>
      <c r="E788" s="55">
        <f t="shared" si="2"/>
        <v>0</v>
      </c>
      <c r="F788" s="56"/>
      <c r="G788" s="57">
        <f t="shared" si="3"/>
        <v>0</v>
      </c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  <c r="AE788" s="58"/>
      <c r="AF788" s="58"/>
    </row>
    <row r="789">
      <c r="A789" s="87"/>
      <c r="B789" s="96"/>
      <c r="C789" s="86"/>
      <c r="D789" s="54">
        <f t="shared" si="1"/>
        <v>0</v>
      </c>
      <c r="E789" s="55">
        <f t="shared" si="2"/>
        <v>0</v>
      </c>
      <c r="F789" s="56"/>
      <c r="G789" s="57">
        <f t="shared" si="3"/>
        <v>0</v>
      </c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  <c r="AE789" s="58"/>
      <c r="AF789" s="58"/>
    </row>
    <row r="790">
      <c r="A790" s="87"/>
      <c r="B790" s="96"/>
      <c r="C790" s="86"/>
      <c r="D790" s="54">
        <f t="shared" si="1"/>
        <v>0</v>
      </c>
      <c r="E790" s="55">
        <f t="shared" si="2"/>
        <v>0</v>
      </c>
      <c r="F790" s="56"/>
      <c r="G790" s="57">
        <f t="shared" si="3"/>
        <v>0</v>
      </c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  <c r="AE790" s="58"/>
      <c r="AF790" s="58"/>
    </row>
    <row r="791">
      <c r="A791" s="87"/>
      <c r="B791" s="96"/>
      <c r="C791" s="86"/>
      <c r="D791" s="54">
        <f t="shared" si="1"/>
        <v>0</v>
      </c>
      <c r="E791" s="55">
        <f t="shared" si="2"/>
        <v>0</v>
      </c>
      <c r="F791" s="56"/>
      <c r="G791" s="57">
        <f t="shared" si="3"/>
        <v>0</v>
      </c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  <c r="AE791" s="58"/>
      <c r="AF791" s="58"/>
    </row>
    <row r="792">
      <c r="A792" s="87"/>
      <c r="B792" s="96"/>
      <c r="C792" s="86"/>
      <c r="D792" s="54">
        <f t="shared" si="1"/>
        <v>0</v>
      </c>
      <c r="E792" s="55">
        <f t="shared" si="2"/>
        <v>0</v>
      </c>
      <c r="F792" s="56"/>
      <c r="G792" s="57">
        <f t="shared" si="3"/>
        <v>0</v>
      </c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  <c r="AE792" s="58"/>
      <c r="AF792" s="58"/>
    </row>
    <row r="793">
      <c r="A793" s="87"/>
      <c r="B793" s="96"/>
      <c r="C793" s="86"/>
      <c r="D793" s="54">
        <f t="shared" si="1"/>
        <v>0</v>
      </c>
      <c r="E793" s="55">
        <f t="shared" si="2"/>
        <v>0</v>
      </c>
      <c r="F793" s="56"/>
      <c r="G793" s="57">
        <f t="shared" si="3"/>
        <v>0</v>
      </c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  <c r="AE793" s="58"/>
      <c r="AF793" s="58"/>
    </row>
    <row r="794">
      <c r="A794" s="87"/>
      <c r="B794" s="96"/>
      <c r="C794" s="86"/>
      <c r="D794" s="54">
        <f t="shared" si="1"/>
        <v>0</v>
      </c>
      <c r="E794" s="55">
        <f t="shared" si="2"/>
        <v>0</v>
      </c>
      <c r="F794" s="56"/>
      <c r="G794" s="57">
        <f t="shared" si="3"/>
        <v>0</v>
      </c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  <c r="AE794" s="58"/>
      <c r="AF794" s="58"/>
    </row>
    <row r="795">
      <c r="A795" s="87"/>
      <c r="B795" s="96"/>
      <c r="C795" s="86"/>
      <c r="D795" s="54">
        <f t="shared" si="1"/>
        <v>0</v>
      </c>
      <c r="E795" s="55">
        <f t="shared" si="2"/>
        <v>0</v>
      </c>
      <c r="F795" s="56"/>
      <c r="G795" s="57">
        <f t="shared" si="3"/>
        <v>0</v>
      </c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  <c r="AE795" s="58"/>
      <c r="AF795" s="58"/>
    </row>
    <row r="796">
      <c r="A796" s="87"/>
      <c r="B796" s="96"/>
      <c r="C796" s="86"/>
      <c r="D796" s="54">
        <f t="shared" si="1"/>
        <v>0</v>
      </c>
      <c r="E796" s="55">
        <f t="shared" si="2"/>
        <v>0</v>
      </c>
      <c r="F796" s="56"/>
      <c r="G796" s="57">
        <f t="shared" si="3"/>
        <v>0</v>
      </c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  <c r="AE796" s="58"/>
      <c r="AF796" s="58"/>
    </row>
    <row r="797">
      <c r="A797" s="87"/>
      <c r="B797" s="96"/>
      <c r="C797" s="86"/>
      <c r="D797" s="54">
        <f t="shared" si="1"/>
        <v>0</v>
      </c>
      <c r="E797" s="55">
        <f t="shared" si="2"/>
        <v>0</v>
      </c>
      <c r="F797" s="56"/>
      <c r="G797" s="57">
        <f t="shared" si="3"/>
        <v>0</v>
      </c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  <c r="AE797" s="58"/>
      <c r="AF797" s="58"/>
    </row>
    <row r="798">
      <c r="A798" s="87"/>
      <c r="B798" s="96"/>
      <c r="C798" s="86"/>
      <c r="D798" s="54">
        <f t="shared" si="1"/>
        <v>0</v>
      </c>
      <c r="E798" s="55">
        <f t="shared" si="2"/>
        <v>0</v>
      </c>
      <c r="F798" s="56"/>
      <c r="G798" s="57">
        <f t="shared" si="3"/>
        <v>0</v>
      </c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  <c r="AE798" s="58"/>
      <c r="AF798" s="58"/>
    </row>
    <row r="799">
      <c r="A799" s="87"/>
      <c r="B799" s="96"/>
      <c r="C799" s="86"/>
      <c r="D799" s="54">
        <f t="shared" si="1"/>
        <v>0</v>
      </c>
      <c r="E799" s="55">
        <f t="shared" si="2"/>
        <v>0</v>
      </c>
      <c r="F799" s="56"/>
      <c r="G799" s="57">
        <f t="shared" si="3"/>
        <v>0</v>
      </c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  <c r="AE799" s="58"/>
      <c r="AF799" s="58"/>
    </row>
    <row r="800">
      <c r="A800" s="87"/>
      <c r="B800" s="96"/>
      <c r="C800" s="86"/>
      <c r="D800" s="54">
        <f t="shared" si="1"/>
        <v>0</v>
      </c>
      <c r="E800" s="55">
        <f t="shared" si="2"/>
        <v>0</v>
      </c>
      <c r="F800" s="56"/>
      <c r="G800" s="57">
        <f t="shared" si="3"/>
        <v>0</v>
      </c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  <c r="AE800" s="58"/>
      <c r="AF800" s="58"/>
    </row>
    <row r="801">
      <c r="A801" s="87"/>
      <c r="B801" s="96"/>
      <c r="C801" s="86"/>
      <c r="D801" s="54">
        <f t="shared" si="1"/>
        <v>0</v>
      </c>
      <c r="E801" s="55">
        <f t="shared" si="2"/>
        <v>0</v>
      </c>
      <c r="F801" s="56"/>
      <c r="G801" s="57">
        <f t="shared" si="3"/>
        <v>0</v>
      </c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  <c r="AE801" s="58"/>
      <c r="AF801" s="58"/>
    </row>
    <row r="802">
      <c r="A802" s="87"/>
      <c r="B802" s="96"/>
      <c r="C802" s="86"/>
      <c r="D802" s="54">
        <f t="shared" si="1"/>
        <v>0</v>
      </c>
      <c r="E802" s="55">
        <f t="shared" si="2"/>
        <v>0</v>
      </c>
      <c r="F802" s="56"/>
      <c r="G802" s="57">
        <f t="shared" si="3"/>
        <v>0</v>
      </c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  <c r="AE802" s="58"/>
      <c r="AF802" s="58"/>
    </row>
    <row r="803">
      <c r="A803" s="87"/>
      <c r="B803" s="96"/>
      <c r="C803" s="86"/>
      <c r="D803" s="54">
        <f t="shared" si="1"/>
        <v>0</v>
      </c>
      <c r="E803" s="55">
        <f t="shared" si="2"/>
        <v>0</v>
      </c>
      <c r="F803" s="56"/>
      <c r="G803" s="57">
        <f t="shared" si="3"/>
        <v>0</v>
      </c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  <c r="AE803" s="58"/>
      <c r="AF803" s="58"/>
    </row>
    <row r="804">
      <c r="A804" s="87"/>
      <c r="B804" s="96"/>
      <c r="C804" s="86"/>
      <c r="D804" s="54">
        <f t="shared" si="1"/>
        <v>0</v>
      </c>
      <c r="E804" s="55">
        <f t="shared" si="2"/>
        <v>0</v>
      </c>
      <c r="F804" s="56"/>
      <c r="G804" s="57">
        <f t="shared" si="3"/>
        <v>0</v>
      </c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  <c r="AE804" s="58"/>
      <c r="AF804" s="58"/>
    </row>
    <row r="805">
      <c r="A805" s="87"/>
      <c r="B805" s="96"/>
      <c r="C805" s="86"/>
      <c r="D805" s="54">
        <f t="shared" si="1"/>
        <v>0</v>
      </c>
      <c r="E805" s="55">
        <f t="shared" si="2"/>
        <v>0</v>
      </c>
      <c r="F805" s="56"/>
      <c r="G805" s="57">
        <f t="shared" si="3"/>
        <v>0</v>
      </c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  <c r="AE805" s="58"/>
      <c r="AF805" s="58"/>
    </row>
    <row r="806">
      <c r="A806" s="87"/>
      <c r="B806" s="96"/>
      <c r="C806" s="86"/>
      <c r="D806" s="54">
        <f t="shared" si="1"/>
        <v>0</v>
      </c>
      <c r="E806" s="55">
        <f t="shared" si="2"/>
        <v>0</v>
      </c>
      <c r="F806" s="56"/>
      <c r="G806" s="57">
        <f t="shared" si="3"/>
        <v>0</v>
      </c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  <c r="AE806" s="58"/>
      <c r="AF806" s="58"/>
    </row>
    <row r="807">
      <c r="A807" s="87"/>
      <c r="B807" s="96"/>
      <c r="C807" s="86"/>
      <c r="D807" s="54">
        <f t="shared" si="1"/>
        <v>0</v>
      </c>
      <c r="E807" s="55">
        <f t="shared" si="2"/>
        <v>0</v>
      </c>
      <c r="F807" s="56"/>
      <c r="G807" s="57">
        <f t="shared" si="3"/>
        <v>0</v>
      </c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  <c r="AE807" s="58"/>
      <c r="AF807" s="58"/>
    </row>
    <row r="808">
      <c r="A808" s="87"/>
      <c r="B808" s="96"/>
      <c r="C808" s="86"/>
      <c r="D808" s="54">
        <f t="shared" si="1"/>
        <v>0</v>
      </c>
      <c r="E808" s="55">
        <f t="shared" si="2"/>
        <v>0</v>
      </c>
      <c r="F808" s="56"/>
      <c r="G808" s="57">
        <f t="shared" si="3"/>
        <v>0</v>
      </c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  <c r="AE808" s="58"/>
      <c r="AF808" s="58"/>
    </row>
    <row r="809">
      <c r="A809" s="87"/>
      <c r="B809" s="96"/>
      <c r="C809" s="86"/>
      <c r="D809" s="54">
        <f t="shared" si="1"/>
        <v>0</v>
      </c>
      <c r="E809" s="55">
        <f t="shared" si="2"/>
        <v>0</v>
      </c>
      <c r="F809" s="56"/>
      <c r="G809" s="57">
        <f t="shared" si="3"/>
        <v>0</v>
      </c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  <c r="AE809" s="58"/>
      <c r="AF809" s="58"/>
    </row>
    <row r="810">
      <c r="A810" s="87"/>
      <c r="B810" s="96"/>
      <c r="C810" s="86"/>
      <c r="D810" s="54">
        <f t="shared" si="1"/>
        <v>0</v>
      </c>
      <c r="E810" s="55">
        <f t="shared" si="2"/>
        <v>0</v>
      </c>
      <c r="F810" s="56"/>
      <c r="G810" s="57">
        <f t="shared" si="3"/>
        <v>0</v>
      </c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  <c r="AE810" s="58"/>
      <c r="AF810" s="58"/>
    </row>
    <row r="811">
      <c r="A811" s="87"/>
      <c r="B811" s="96"/>
      <c r="C811" s="86"/>
      <c r="D811" s="54">
        <f t="shared" si="1"/>
        <v>0</v>
      </c>
      <c r="E811" s="55">
        <f t="shared" si="2"/>
        <v>0</v>
      </c>
      <c r="F811" s="56"/>
      <c r="G811" s="57">
        <f t="shared" si="3"/>
        <v>0</v>
      </c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  <c r="AE811" s="58"/>
      <c r="AF811" s="58"/>
    </row>
    <row r="812">
      <c r="A812" s="87"/>
      <c r="B812" s="96"/>
      <c r="C812" s="86"/>
      <c r="D812" s="54">
        <f t="shared" si="1"/>
        <v>0</v>
      </c>
      <c r="E812" s="55">
        <f t="shared" si="2"/>
        <v>0</v>
      </c>
      <c r="F812" s="56"/>
      <c r="G812" s="57">
        <f t="shared" si="3"/>
        <v>0</v>
      </c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  <c r="AE812" s="58"/>
      <c r="AF812" s="58"/>
    </row>
    <row r="813">
      <c r="A813" s="87"/>
      <c r="B813" s="96"/>
      <c r="C813" s="86"/>
      <c r="D813" s="54">
        <f t="shared" si="1"/>
        <v>0</v>
      </c>
      <c r="E813" s="55">
        <f t="shared" si="2"/>
        <v>0</v>
      </c>
      <c r="F813" s="56"/>
      <c r="G813" s="57">
        <f t="shared" si="3"/>
        <v>0</v>
      </c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  <c r="AE813" s="58"/>
      <c r="AF813" s="58"/>
    </row>
    <row r="814">
      <c r="A814" s="87"/>
      <c r="B814" s="96"/>
      <c r="C814" s="86"/>
      <c r="D814" s="54">
        <f t="shared" si="1"/>
        <v>0</v>
      </c>
      <c r="E814" s="55">
        <f t="shared" si="2"/>
        <v>0</v>
      </c>
      <c r="F814" s="56"/>
      <c r="G814" s="57">
        <f t="shared" si="3"/>
        <v>0</v>
      </c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  <c r="AE814" s="58"/>
      <c r="AF814" s="58"/>
    </row>
    <row r="815">
      <c r="A815" s="87"/>
      <c r="B815" s="96"/>
      <c r="C815" s="86"/>
      <c r="D815" s="54">
        <f t="shared" si="1"/>
        <v>0</v>
      </c>
      <c r="E815" s="55">
        <f t="shared" si="2"/>
        <v>0</v>
      </c>
      <c r="F815" s="56"/>
      <c r="G815" s="57">
        <f t="shared" si="3"/>
        <v>0</v>
      </c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  <c r="AE815" s="58"/>
      <c r="AF815" s="58"/>
    </row>
    <row r="816">
      <c r="A816" s="87"/>
      <c r="B816" s="96"/>
      <c r="C816" s="86"/>
      <c r="D816" s="54">
        <f t="shared" si="1"/>
        <v>0</v>
      </c>
      <c r="E816" s="55">
        <f t="shared" si="2"/>
        <v>0</v>
      </c>
      <c r="F816" s="56"/>
      <c r="G816" s="57">
        <f t="shared" si="3"/>
        <v>0</v>
      </c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  <c r="AE816" s="58"/>
      <c r="AF816" s="58"/>
    </row>
    <row r="817">
      <c r="A817" s="87"/>
      <c r="B817" s="96"/>
      <c r="C817" s="86"/>
      <c r="D817" s="54">
        <f t="shared" si="1"/>
        <v>0</v>
      </c>
      <c r="E817" s="55">
        <f t="shared" si="2"/>
        <v>0</v>
      </c>
      <c r="F817" s="56"/>
      <c r="G817" s="57">
        <f t="shared" si="3"/>
        <v>0</v>
      </c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  <c r="AE817" s="58"/>
      <c r="AF817" s="58"/>
    </row>
    <row r="818">
      <c r="A818" s="87"/>
      <c r="B818" s="96"/>
      <c r="C818" s="86"/>
      <c r="D818" s="54">
        <f t="shared" si="1"/>
        <v>0</v>
      </c>
      <c r="E818" s="55">
        <f t="shared" si="2"/>
        <v>0</v>
      </c>
      <c r="F818" s="56"/>
      <c r="G818" s="57">
        <f t="shared" si="3"/>
        <v>0</v>
      </c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  <c r="AE818" s="58"/>
      <c r="AF818" s="58"/>
    </row>
    <row r="819">
      <c r="A819" s="87"/>
      <c r="B819" s="96"/>
      <c r="C819" s="86"/>
      <c r="D819" s="54">
        <f t="shared" si="1"/>
        <v>0</v>
      </c>
      <c r="E819" s="55">
        <f t="shared" si="2"/>
        <v>0</v>
      </c>
      <c r="F819" s="56"/>
      <c r="G819" s="57">
        <f t="shared" si="3"/>
        <v>0</v>
      </c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  <c r="AE819" s="58"/>
      <c r="AF819" s="58"/>
    </row>
    <row r="820">
      <c r="A820" s="87"/>
      <c r="B820" s="96"/>
      <c r="C820" s="86"/>
      <c r="D820" s="54">
        <f t="shared" si="1"/>
        <v>0</v>
      </c>
      <c r="E820" s="55">
        <f t="shared" si="2"/>
        <v>0</v>
      </c>
      <c r="F820" s="56"/>
      <c r="G820" s="57">
        <f t="shared" si="3"/>
        <v>0</v>
      </c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  <c r="AE820" s="58"/>
      <c r="AF820" s="58"/>
    </row>
    <row r="821">
      <c r="A821" s="87"/>
      <c r="B821" s="96"/>
      <c r="C821" s="86"/>
      <c r="D821" s="54">
        <f t="shared" si="1"/>
        <v>0</v>
      </c>
      <c r="E821" s="55">
        <f t="shared" si="2"/>
        <v>0</v>
      </c>
      <c r="F821" s="56"/>
      <c r="G821" s="57">
        <f t="shared" si="3"/>
        <v>0</v>
      </c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  <c r="AE821" s="58"/>
      <c r="AF821" s="58"/>
    </row>
    <row r="822">
      <c r="A822" s="87"/>
      <c r="B822" s="96"/>
      <c r="C822" s="86"/>
      <c r="D822" s="54">
        <f t="shared" si="1"/>
        <v>0</v>
      </c>
      <c r="E822" s="55">
        <f t="shared" si="2"/>
        <v>0</v>
      </c>
      <c r="F822" s="56"/>
      <c r="G822" s="57">
        <f t="shared" si="3"/>
        <v>0</v>
      </c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  <c r="AE822" s="58"/>
      <c r="AF822" s="58"/>
    </row>
    <row r="823">
      <c r="A823" s="87"/>
      <c r="B823" s="96"/>
      <c r="C823" s="86"/>
      <c r="D823" s="54">
        <f t="shared" si="1"/>
        <v>0</v>
      </c>
      <c r="E823" s="55">
        <f t="shared" si="2"/>
        <v>0</v>
      </c>
      <c r="F823" s="56"/>
      <c r="G823" s="57">
        <f t="shared" si="3"/>
        <v>0</v>
      </c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  <c r="AE823" s="58"/>
      <c r="AF823" s="58"/>
    </row>
    <row r="824">
      <c r="A824" s="87"/>
      <c r="B824" s="96"/>
      <c r="C824" s="86"/>
      <c r="D824" s="54">
        <f t="shared" si="1"/>
        <v>0</v>
      </c>
      <c r="E824" s="55">
        <f t="shared" si="2"/>
        <v>0</v>
      </c>
      <c r="F824" s="56"/>
      <c r="G824" s="57">
        <f t="shared" si="3"/>
        <v>0</v>
      </c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  <c r="AE824" s="58"/>
      <c r="AF824" s="58"/>
    </row>
    <row r="825">
      <c r="A825" s="87"/>
      <c r="B825" s="96"/>
      <c r="C825" s="86"/>
      <c r="D825" s="54">
        <f t="shared" si="1"/>
        <v>0</v>
      </c>
      <c r="E825" s="55">
        <f t="shared" si="2"/>
        <v>0</v>
      </c>
      <c r="F825" s="56"/>
      <c r="G825" s="57">
        <f t="shared" si="3"/>
        <v>0</v>
      </c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  <c r="AE825" s="58"/>
      <c r="AF825" s="58"/>
    </row>
    <row r="826">
      <c r="A826" s="87"/>
      <c r="B826" s="96"/>
      <c r="C826" s="86"/>
      <c r="D826" s="54">
        <f t="shared" si="1"/>
        <v>0</v>
      </c>
      <c r="E826" s="55">
        <f t="shared" si="2"/>
        <v>0</v>
      </c>
      <c r="F826" s="56"/>
      <c r="G826" s="57">
        <f t="shared" si="3"/>
        <v>0</v>
      </c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  <c r="AE826" s="58"/>
      <c r="AF826" s="58"/>
    </row>
    <row r="827">
      <c r="A827" s="87"/>
      <c r="B827" s="96"/>
      <c r="C827" s="86"/>
      <c r="D827" s="54">
        <f t="shared" si="1"/>
        <v>0</v>
      </c>
      <c r="E827" s="55">
        <f t="shared" si="2"/>
        <v>0</v>
      </c>
      <c r="F827" s="56"/>
      <c r="G827" s="57">
        <f t="shared" si="3"/>
        <v>0</v>
      </c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  <c r="AE827" s="58"/>
      <c r="AF827" s="58"/>
    </row>
    <row r="828">
      <c r="A828" s="87"/>
      <c r="B828" s="96"/>
      <c r="C828" s="86"/>
      <c r="D828" s="54">
        <f t="shared" si="1"/>
        <v>0</v>
      </c>
      <c r="E828" s="55">
        <f t="shared" si="2"/>
        <v>0</v>
      </c>
      <c r="F828" s="56"/>
      <c r="G828" s="57">
        <f t="shared" si="3"/>
        <v>0</v>
      </c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  <c r="AE828" s="58"/>
      <c r="AF828" s="58"/>
    </row>
    <row r="829">
      <c r="A829" s="87"/>
      <c r="B829" s="96"/>
      <c r="C829" s="86"/>
      <c r="D829" s="54">
        <f t="shared" si="1"/>
        <v>0</v>
      </c>
      <c r="E829" s="55">
        <f t="shared" si="2"/>
        <v>0</v>
      </c>
      <c r="F829" s="56"/>
      <c r="G829" s="57">
        <f t="shared" si="3"/>
        <v>0</v>
      </c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  <c r="AE829" s="58"/>
      <c r="AF829" s="58"/>
    </row>
    <row r="830">
      <c r="A830" s="87"/>
      <c r="B830" s="96"/>
      <c r="C830" s="86"/>
      <c r="D830" s="54">
        <f t="shared" si="1"/>
        <v>0</v>
      </c>
      <c r="E830" s="55">
        <f t="shared" si="2"/>
        <v>0</v>
      </c>
      <c r="F830" s="56"/>
      <c r="G830" s="57">
        <f t="shared" si="3"/>
        <v>0</v>
      </c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  <c r="AE830" s="58"/>
      <c r="AF830" s="58"/>
    </row>
    <row r="831">
      <c r="A831" s="87"/>
      <c r="B831" s="96"/>
      <c r="C831" s="86"/>
      <c r="D831" s="54">
        <f t="shared" si="1"/>
        <v>0</v>
      </c>
      <c r="E831" s="55">
        <f t="shared" si="2"/>
        <v>0</v>
      </c>
      <c r="F831" s="56"/>
      <c r="G831" s="57">
        <f t="shared" si="3"/>
        <v>0</v>
      </c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  <c r="AE831" s="58"/>
      <c r="AF831" s="58"/>
    </row>
    <row r="832">
      <c r="A832" s="87"/>
      <c r="B832" s="96"/>
      <c r="C832" s="86"/>
      <c r="D832" s="54">
        <f t="shared" si="1"/>
        <v>0</v>
      </c>
      <c r="E832" s="55">
        <f t="shared" si="2"/>
        <v>0</v>
      </c>
      <c r="F832" s="56"/>
      <c r="G832" s="57">
        <f t="shared" si="3"/>
        <v>0</v>
      </c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  <c r="AE832" s="58"/>
      <c r="AF832" s="58"/>
    </row>
    <row r="833">
      <c r="A833" s="87"/>
      <c r="B833" s="96"/>
      <c r="C833" s="86"/>
      <c r="D833" s="54">
        <f t="shared" si="1"/>
        <v>0</v>
      </c>
      <c r="E833" s="55">
        <f t="shared" si="2"/>
        <v>0</v>
      </c>
      <c r="F833" s="56"/>
      <c r="G833" s="57">
        <f t="shared" si="3"/>
        <v>0</v>
      </c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  <c r="AE833" s="58"/>
      <c r="AF833" s="58"/>
    </row>
    <row r="834">
      <c r="A834" s="87"/>
      <c r="B834" s="96"/>
      <c r="C834" s="86"/>
      <c r="D834" s="54">
        <f t="shared" si="1"/>
        <v>0</v>
      </c>
      <c r="E834" s="55">
        <f t="shared" si="2"/>
        <v>0</v>
      </c>
      <c r="F834" s="56"/>
      <c r="G834" s="57">
        <f t="shared" si="3"/>
        <v>0</v>
      </c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  <c r="AE834" s="58"/>
      <c r="AF834" s="58"/>
    </row>
    <row r="835">
      <c r="A835" s="87"/>
      <c r="B835" s="96"/>
      <c r="C835" s="86"/>
      <c r="D835" s="54">
        <f t="shared" si="1"/>
        <v>0</v>
      </c>
      <c r="E835" s="55">
        <f t="shared" si="2"/>
        <v>0</v>
      </c>
      <c r="F835" s="56"/>
      <c r="G835" s="57">
        <f t="shared" si="3"/>
        <v>0</v>
      </c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  <c r="AE835" s="58"/>
      <c r="AF835" s="58"/>
    </row>
    <row r="836">
      <c r="A836" s="87"/>
      <c r="B836" s="96"/>
      <c r="C836" s="86"/>
      <c r="D836" s="54">
        <f t="shared" si="1"/>
        <v>0</v>
      </c>
      <c r="E836" s="55">
        <f t="shared" si="2"/>
        <v>0</v>
      </c>
      <c r="F836" s="56"/>
      <c r="G836" s="57">
        <f t="shared" si="3"/>
        <v>0</v>
      </c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  <c r="AE836" s="58"/>
      <c r="AF836" s="58"/>
    </row>
    <row r="837">
      <c r="A837" s="87"/>
      <c r="B837" s="96"/>
      <c r="C837" s="86"/>
      <c r="D837" s="54">
        <f t="shared" si="1"/>
        <v>0</v>
      </c>
      <c r="E837" s="55">
        <f t="shared" si="2"/>
        <v>0</v>
      </c>
      <c r="F837" s="56"/>
      <c r="G837" s="57">
        <f t="shared" si="3"/>
        <v>0</v>
      </c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  <c r="AE837" s="58"/>
      <c r="AF837" s="58"/>
    </row>
    <row r="838">
      <c r="A838" s="87"/>
      <c r="B838" s="96"/>
      <c r="C838" s="86"/>
      <c r="D838" s="54">
        <f t="shared" si="1"/>
        <v>0</v>
      </c>
      <c r="E838" s="55">
        <f t="shared" si="2"/>
        <v>0</v>
      </c>
      <c r="F838" s="56"/>
      <c r="G838" s="57">
        <f t="shared" si="3"/>
        <v>0</v>
      </c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  <c r="AE838" s="58"/>
      <c r="AF838" s="58"/>
    </row>
    <row r="839">
      <c r="A839" s="87"/>
      <c r="B839" s="96"/>
      <c r="C839" s="86"/>
      <c r="D839" s="54">
        <f t="shared" si="1"/>
        <v>0</v>
      </c>
      <c r="E839" s="55">
        <f t="shared" si="2"/>
        <v>0</v>
      </c>
      <c r="F839" s="56"/>
      <c r="G839" s="57">
        <f t="shared" si="3"/>
        <v>0</v>
      </c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  <c r="AE839" s="58"/>
      <c r="AF839" s="58"/>
    </row>
    <row r="840">
      <c r="A840" s="87"/>
      <c r="B840" s="96"/>
      <c r="C840" s="86"/>
      <c r="D840" s="54">
        <f t="shared" si="1"/>
        <v>0</v>
      </c>
      <c r="E840" s="55">
        <f t="shared" si="2"/>
        <v>0</v>
      </c>
      <c r="F840" s="56"/>
      <c r="G840" s="57">
        <f t="shared" si="3"/>
        <v>0</v>
      </c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  <c r="AE840" s="58"/>
      <c r="AF840" s="58"/>
    </row>
    <row r="841">
      <c r="A841" s="87"/>
      <c r="B841" s="96"/>
      <c r="C841" s="86"/>
      <c r="D841" s="54">
        <f t="shared" si="1"/>
        <v>0</v>
      </c>
      <c r="E841" s="55">
        <f t="shared" si="2"/>
        <v>0</v>
      </c>
      <c r="F841" s="56"/>
      <c r="G841" s="57">
        <f t="shared" si="3"/>
        <v>0</v>
      </c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  <c r="AE841" s="58"/>
      <c r="AF841" s="58"/>
    </row>
    <row r="842">
      <c r="A842" s="87"/>
      <c r="B842" s="96"/>
      <c r="C842" s="86"/>
      <c r="D842" s="54">
        <f t="shared" si="1"/>
        <v>0</v>
      </c>
      <c r="E842" s="55">
        <f t="shared" si="2"/>
        <v>0</v>
      </c>
      <c r="F842" s="56"/>
      <c r="G842" s="57">
        <f t="shared" si="3"/>
        <v>0</v>
      </c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  <c r="AE842" s="58"/>
      <c r="AF842" s="58"/>
    </row>
    <row r="843">
      <c r="A843" s="87"/>
      <c r="B843" s="96"/>
      <c r="C843" s="86"/>
      <c r="D843" s="54">
        <f t="shared" si="1"/>
        <v>0</v>
      </c>
      <c r="E843" s="55">
        <f t="shared" si="2"/>
        <v>0</v>
      </c>
      <c r="F843" s="56"/>
      <c r="G843" s="57">
        <f t="shared" si="3"/>
        <v>0</v>
      </c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  <c r="AE843" s="58"/>
      <c r="AF843" s="58"/>
    </row>
    <row r="844">
      <c r="A844" s="87"/>
      <c r="B844" s="96"/>
      <c r="C844" s="86"/>
      <c r="D844" s="54">
        <f t="shared" si="1"/>
        <v>0</v>
      </c>
      <c r="E844" s="55">
        <f t="shared" si="2"/>
        <v>0</v>
      </c>
      <c r="F844" s="56"/>
      <c r="G844" s="57">
        <f t="shared" si="3"/>
        <v>0</v>
      </c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  <c r="AE844" s="58"/>
      <c r="AF844" s="58"/>
    </row>
    <row r="845">
      <c r="A845" s="87"/>
      <c r="B845" s="96"/>
      <c r="C845" s="86"/>
      <c r="D845" s="54">
        <f t="shared" si="1"/>
        <v>0</v>
      </c>
      <c r="E845" s="55">
        <f t="shared" si="2"/>
        <v>0</v>
      </c>
      <c r="F845" s="56"/>
      <c r="G845" s="57">
        <f t="shared" si="3"/>
        <v>0</v>
      </c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  <c r="AE845" s="58"/>
      <c r="AF845" s="58"/>
    </row>
    <row r="846">
      <c r="A846" s="87"/>
      <c r="B846" s="96"/>
      <c r="C846" s="86"/>
      <c r="D846" s="54">
        <f t="shared" si="1"/>
        <v>0</v>
      </c>
      <c r="E846" s="55">
        <f t="shared" si="2"/>
        <v>0</v>
      </c>
      <c r="F846" s="56"/>
      <c r="G846" s="57">
        <f t="shared" si="3"/>
        <v>0</v>
      </c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  <c r="AE846" s="58"/>
      <c r="AF846" s="58"/>
    </row>
    <row r="847">
      <c r="A847" s="87"/>
      <c r="B847" s="96"/>
      <c r="C847" s="86"/>
      <c r="D847" s="54">
        <f t="shared" si="1"/>
        <v>0</v>
      </c>
      <c r="E847" s="55">
        <f t="shared" si="2"/>
        <v>0</v>
      </c>
      <c r="F847" s="56"/>
      <c r="G847" s="57">
        <f t="shared" si="3"/>
        <v>0</v>
      </c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  <c r="AE847" s="58"/>
      <c r="AF847" s="58"/>
    </row>
    <row r="848">
      <c r="A848" s="87"/>
      <c r="B848" s="96"/>
      <c r="C848" s="86"/>
      <c r="D848" s="54">
        <f t="shared" si="1"/>
        <v>0</v>
      </c>
      <c r="E848" s="55">
        <f t="shared" si="2"/>
        <v>0</v>
      </c>
      <c r="F848" s="56"/>
      <c r="G848" s="57">
        <f t="shared" si="3"/>
        <v>0</v>
      </c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  <c r="AE848" s="58"/>
      <c r="AF848" s="58"/>
    </row>
    <row r="849">
      <c r="A849" s="87"/>
      <c r="B849" s="96"/>
      <c r="C849" s="86"/>
      <c r="D849" s="54">
        <f t="shared" si="1"/>
        <v>0</v>
      </c>
      <c r="E849" s="55">
        <f t="shared" si="2"/>
        <v>0</v>
      </c>
      <c r="F849" s="56"/>
      <c r="G849" s="57">
        <f t="shared" si="3"/>
        <v>0</v>
      </c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  <c r="AE849" s="58"/>
      <c r="AF849" s="58"/>
    </row>
    <row r="850">
      <c r="A850" s="87"/>
      <c r="B850" s="96"/>
      <c r="C850" s="86"/>
      <c r="D850" s="54">
        <f t="shared" si="1"/>
        <v>0</v>
      </c>
      <c r="E850" s="55">
        <f t="shared" si="2"/>
        <v>0</v>
      </c>
      <c r="F850" s="56"/>
      <c r="G850" s="57">
        <f t="shared" si="3"/>
        <v>0</v>
      </c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  <c r="AE850" s="58"/>
      <c r="AF850" s="58"/>
    </row>
    <row r="851">
      <c r="A851" s="87"/>
      <c r="B851" s="96"/>
      <c r="C851" s="86"/>
      <c r="D851" s="54">
        <f t="shared" si="1"/>
        <v>0</v>
      </c>
      <c r="E851" s="55">
        <f t="shared" si="2"/>
        <v>0</v>
      </c>
      <c r="F851" s="56"/>
      <c r="G851" s="57">
        <f t="shared" si="3"/>
        <v>0</v>
      </c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  <c r="AE851" s="58"/>
      <c r="AF851" s="58"/>
    </row>
    <row r="852">
      <c r="A852" s="87"/>
      <c r="B852" s="96"/>
      <c r="C852" s="86"/>
      <c r="D852" s="54">
        <f t="shared" si="1"/>
        <v>0</v>
      </c>
      <c r="E852" s="55">
        <f t="shared" si="2"/>
        <v>0</v>
      </c>
      <c r="F852" s="56"/>
      <c r="G852" s="57">
        <f t="shared" si="3"/>
        <v>0</v>
      </c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  <c r="AE852" s="58"/>
      <c r="AF852" s="58"/>
    </row>
    <row r="853">
      <c r="A853" s="87"/>
      <c r="B853" s="96"/>
      <c r="C853" s="86"/>
      <c r="D853" s="54">
        <f t="shared" si="1"/>
        <v>0</v>
      </c>
      <c r="E853" s="55">
        <f t="shared" si="2"/>
        <v>0</v>
      </c>
      <c r="F853" s="56"/>
      <c r="G853" s="57">
        <f t="shared" si="3"/>
        <v>0</v>
      </c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  <c r="AE853" s="58"/>
      <c r="AF853" s="58"/>
    </row>
    <row r="854">
      <c r="A854" s="87"/>
      <c r="B854" s="96"/>
      <c r="C854" s="86"/>
      <c r="D854" s="54">
        <f t="shared" si="1"/>
        <v>0</v>
      </c>
      <c r="E854" s="55">
        <f t="shared" si="2"/>
        <v>0</v>
      </c>
      <c r="F854" s="56"/>
      <c r="G854" s="57">
        <f t="shared" si="3"/>
        <v>0</v>
      </c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  <c r="AE854" s="58"/>
      <c r="AF854" s="58"/>
    </row>
    <row r="855">
      <c r="A855" s="87"/>
      <c r="B855" s="96"/>
      <c r="C855" s="86"/>
      <c r="D855" s="54">
        <f t="shared" si="1"/>
        <v>0</v>
      </c>
      <c r="E855" s="55">
        <f t="shared" si="2"/>
        <v>0</v>
      </c>
      <c r="F855" s="56"/>
      <c r="G855" s="57">
        <f t="shared" si="3"/>
        <v>0</v>
      </c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  <c r="AE855" s="58"/>
      <c r="AF855" s="58"/>
    </row>
    <row r="856">
      <c r="A856" s="87"/>
      <c r="B856" s="96"/>
      <c r="C856" s="86"/>
      <c r="D856" s="54">
        <f t="shared" si="1"/>
        <v>0</v>
      </c>
      <c r="E856" s="55">
        <f t="shared" si="2"/>
        <v>0</v>
      </c>
      <c r="F856" s="56"/>
      <c r="G856" s="57">
        <f t="shared" si="3"/>
        <v>0</v>
      </c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  <c r="AE856" s="58"/>
      <c r="AF856" s="58"/>
    </row>
    <row r="857">
      <c r="A857" s="87"/>
      <c r="B857" s="96"/>
      <c r="C857" s="86"/>
      <c r="D857" s="54">
        <f t="shared" si="1"/>
        <v>0</v>
      </c>
      <c r="E857" s="55">
        <f t="shared" si="2"/>
        <v>0</v>
      </c>
      <c r="F857" s="56"/>
      <c r="G857" s="57">
        <f t="shared" si="3"/>
        <v>0</v>
      </c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  <c r="AE857" s="58"/>
      <c r="AF857" s="58"/>
    </row>
    <row r="858">
      <c r="A858" s="87"/>
      <c r="B858" s="96"/>
      <c r="C858" s="86"/>
      <c r="D858" s="54">
        <f t="shared" si="1"/>
        <v>0</v>
      </c>
      <c r="E858" s="55">
        <f t="shared" si="2"/>
        <v>0</v>
      </c>
      <c r="F858" s="56"/>
      <c r="G858" s="57">
        <f t="shared" si="3"/>
        <v>0</v>
      </c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  <c r="AE858" s="58"/>
      <c r="AF858" s="58"/>
    </row>
    <row r="859">
      <c r="A859" s="87"/>
      <c r="B859" s="96"/>
      <c r="C859" s="86"/>
      <c r="D859" s="54">
        <f t="shared" si="1"/>
        <v>0</v>
      </c>
      <c r="E859" s="55">
        <f t="shared" si="2"/>
        <v>0</v>
      </c>
      <c r="F859" s="56"/>
      <c r="G859" s="57">
        <f t="shared" si="3"/>
        <v>0</v>
      </c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  <c r="AE859" s="58"/>
      <c r="AF859" s="58"/>
    </row>
    <row r="860">
      <c r="A860" s="87"/>
      <c r="B860" s="96"/>
      <c r="C860" s="86"/>
      <c r="D860" s="54">
        <f t="shared" si="1"/>
        <v>0</v>
      </c>
      <c r="E860" s="55">
        <f t="shared" si="2"/>
        <v>0</v>
      </c>
      <c r="F860" s="56"/>
      <c r="G860" s="57">
        <f t="shared" si="3"/>
        <v>0</v>
      </c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  <c r="AE860" s="58"/>
      <c r="AF860" s="58"/>
    </row>
    <row r="861">
      <c r="A861" s="87"/>
      <c r="B861" s="96"/>
      <c r="C861" s="86"/>
      <c r="D861" s="54">
        <f t="shared" si="1"/>
        <v>0</v>
      </c>
      <c r="E861" s="55">
        <f t="shared" si="2"/>
        <v>0</v>
      </c>
      <c r="F861" s="56"/>
      <c r="G861" s="57">
        <f t="shared" si="3"/>
        <v>0</v>
      </c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  <c r="AE861" s="58"/>
      <c r="AF861" s="58"/>
    </row>
    <row r="862">
      <c r="A862" s="87"/>
      <c r="B862" s="96"/>
      <c r="C862" s="86"/>
      <c r="D862" s="54">
        <f t="shared" si="1"/>
        <v>0</v>
      </c>
      <c r="E862" s="55">
        <f t="shared" si="2"/>
        <v>0</v>
      </c>
      <c r="F862" s="56"/>
      <c r="G862" s="57">
        <f t="shared" si="3"/>
        <v>0</v>
      </c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  <c r="AE862" s="58"/>
      <c r="AF862" s="58"/>
    </row>
    <row r="863">
      <c r="A863" s="87"/>
      <c r="B863" s="96"/>
      <c r="C863" s="86"/>
      <c r="D863" s="54">
        <f t="shared" si="1"/>
        <v>0</v>
      </c>
      <c r="E863" s="55">
        <f t="shared" si="2"/>
        <v>0</v>
      </c>
      <c r="F863" s="56"/>
      <c r="G863" s="57">
        <f t="shared" si="3"/>
        <v>0</v>
      </c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  <c r="AE863" s="58"/>
      <c r="AF863" s="58"/>
    </row>
    <row r="864">
      <c r="A864" s="87"/>
      <c r="B864" s="96"/>
      <c r="C864" s="86"/>
      <c r="D864" s="54">
        <f t="shared" si="1"/>
        <v>0</v>
      </c>
      <c r="E864" s="55">
        <f t="shared" si="2"/>
        <v>0</v>
      </c>
      <c r="F864" s="56"/>
      <c r="G864" s="57">
        <f t="shared" si="3"/>
        <v>0</v>
      </c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  <c r="AE864" s="58"/>
      <c r="AF864" s="58"/>
    </row>
    <row r="865">
      <c r="A865" s="87"/>
      <c r="B865" s="96"/>
      <c r="C865" s="86"/>
      <c r="D865" s="54">
        <f t="shared" si="1"/>
        <v>0</v>
      </c>
      <c r="E865" s="55">
        <f t="shared" si="2"/>
        <v>0</v>
      </c>
      <c r="F865" s="56"/>
      <c r="G865" s="57">
        <f t="shared" si="3"/>
        <v>0</v>
      </c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  <c r="AE865" s="58"/>
      <c r="AF865" s="58"/>
    </row>
    <row r="866">
      <c r="A866" s="87"/>
      <c r="B866" s="96"/>
      <c r="C866" s="86"/>
      <c r="D866" s="54">
        <f t="shared" si="1"/>
        <v>0</v>
      </c>
      <c r="E866" s="55">
        <f t="shared" si="2"/>
        <v>0</v>
      </c>
      <c r="F866" s="56"/>
      <c r="G866" s="57">
        <f t="shared" si="3"/>
        <v>0</v>
      </c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  <c r="AE866" s="58"/>
      <c r="AF866" s="58"/>
    </row>
    <row r="867">
      <c r="A867" s="87"/>
      <c r="B867" s="96"/>
      <c r="C867" s="86"/>
      <c r="D867" s="54">
        <f t="shared" si="1"/>
        <v>0</v>
      </c>
      <c r="E867" s="55">
        <f t="shared" si="2"/>
        <v>0</v>
      </c>
      <c r="F867" s="56"/>
      <c r="G867" s="57">
        <f t="shared" si="3"/>
        <v>0</v>
      </c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  <c r="AE867" s="58"/>
      <c r="AF867" s="58"/>
    </row>
    <row r="868">
      <c r="A868" s="87"/>
      <c r="B868" s="96"/>
      <c r="C868" s="86"/>
      <c r="D868" s="54">
        <f t="shared" si="1"/>
        <v>0</v>
      </c>
      <c r="E868" s="55">
        <f t="shared" si="2"/>
        <v>0</v>
      </c>
      <c r="F868" s="56"/>
      <c r="G868" s="57">
        <f t="shared" si="3"/>
        <v>0</v>
      </c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  <c r="AE868" s="58"/>
      <c r="AF868" s="58"/>
    </row>
    <row r="869">
      <c r="A869" s="87"/>
      <c r="B869" s="96"/>
      <c r="C869" s="86"/>
      <c r="D869" s="54">
        <f t="shared" si="1"/>
        <v>0</v>
      </c>
      <c r="E869" s="55">
        <f t="shared" si="2"/>
        <v>0</v>
      </c>
      <c r="F869" s="56"/>
      <c r="G869" s="57">
        <f t="shared" si="3"/>
        <v>0</v>
      </c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  <c r="AE869" s="58"/>
      <c r="AF869" s="58"/>
    </row>
    <row r="870">
      <c r="A870" s="87"/>
      <c r="B870" s="96"/>
      <c r="C870" s="86"/>
      <c r="D870" s="54">
        <f t="shared" si="1"/>
        <v>0</v>
      </c>
      <c r="E870" s="55">
        <f t="shared" si="2"/>
        <v>0</v>
      </c>
      <c r="F870" s="56"/>
      <c r="G870" s="57">
        <f t="shared" si="3"/>
        <v>0</v>
      </c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  <c r="AE870" s="58"/>
      <c r="AF870" s="58"/>
    </row>
    <row r="871">
      <c r="A871" s="87"/>
      <c r="B871" s="96"/>
      <c r="C871" s="86"/>
      <c r="D871" s="54">
        <f t="shared" si="1"/>
        <v>0</v>
      </c>
      <c r="E871" s="55">
        <f t="shared" si="2"/>
        <v>0</v>
      </c>
      <c r="F871" s="56"/>
      <c r="G871" s="57">
        <f t="shared" si="3"/>
        <v>0</v>
      </c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  <c r="AE871" s="58"/>
      <c r="AF871" s="58"/>
    </row>
    <row r="872">
      <c r="A872" s="87"/>
      <c r="B872" s="96"/>
      <c r="C872" s="86"/>
      <c r="D872" s="54">
        <f t="shared" si="1"/>
        <v>0</v>
      </c>
      <c r="E872" s="55">
        <f t="shared" si="2"/>
        <v>0</v>
      </c>
      <c r="F872" s="56"/>
      <c r="G872" s="57">
        <f t="shared" si="3"/>
        <v>0</v>
      </c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  <c r="AE872" s="58"/>
      <c r="AF872" s="58"/>
    </row>
    <row r="873">
      <c r="A873" s="87"/>
      <c r="B873" s="96"/>
      <c r="C873" s="86"/>
      <c r="D873" s="54">
        <f t="shared" si="1"/>
        <v>0</v>
      </c>
      <c r="E873" s="55">
        <f t="shared" si="2"/>
        <v>0</v>
      </c>
      <c r="F873" s="56"/>
      <c r="G873" s="57">
        <f t="shared" si="3"/>
        <v>0</v>
      </c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  <c r="AE873" s="58"/>
      <c r="AF873" s="58"/>
    </row>
    <row r="874">
      <c r="A874" s="87"/>
      <c r="B874" s="96"/>
      <c r="C874" s="86"/>
      <c r="D874" s="54">
        <f t="shared" si="1"/>
        <v>0</v>
      </c>
      <c r="E874" s="55">
        <f t="shared" si="2"/>
        <v>0</v>
      </c>
      <c r="F874" s="56"/>
      <c r="G874" s="57">
        <f t="shared" si="3"/>
        <v>0</v>
      </c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  <c r="AE874" s="58"/>
      <c r="AF874" s="58"/>
    </row>
    <row r="875">
      <c r="A875" s="87"/>
      <c r="B875" s="96"/>
      <c r="C875" s="86"/>
      <c r="D875" s="54">
        <f t="shared" si="1"/>
        <v>0</v>
      </c>
      <c r="E875" s="55">
        <f t="shared" si="2"/>
        <v>0</v>
      </c>
      <c r="F875" s="56"/>
      <c r="G875" s="57">
        <f t="shared" si="3"/>
        <v>0</v>
      </c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  <c r="AE875" s="58"/>
      <c r="AF875" s="58"/>
    </row>
    <row r="876">
      <c r="A876" s="87"/>
      <c r="B876" s="96"/>
      <c r="C876" s="86"/>
      <c r="D876" s="54">
        <f t="shared" si="1"/>
        <v>0</v>
      </c>
      <c r="E876" s="55">
        <f t="shared" si="2"/>
        <v>0</v>
      </c>
      <c r="F876" s="56"/>
      <c r="G876" s="57">
        <f t="shared" si="3"/>
        <v>0</v>
      </c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  <c r="AE876" s="58"/>
      <c r="AF876" s="58"/>
    </row>
    <row r="877">
      <c r="A877" s="87"/>
      <c r="B877" s="96"/>
      <c r="C877" s="86"/>
      <c r="D877" s="54">
        <f t="shared" si="1"/>
        <v>0</v>
      </c>
      <c r="E877" s="55">
        <f t="shared" si="2"/>
        <v>0</v>
      </c>
      <c r="F877" s="56"/>
      <c r="G877" s="57">
        <f t="shared" si="3"/>
        <v>0</v>
      </c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  <c r="AE877" s="58"/>
      <c r="AF877" s="58"/>
    </row>
    <row r="878">
      <c r="A878" s="87"/>
      <c r="B878" s="96"/>
      <c r="C878" s="86"/>
      <c r="D878" s="54">
        <f t="shared" si="1"/>
        <v>0</v>
      </c>
      <c r="E878" s="55">
        <f t="shared" si="2"/>
        <v>0</v>
      </c>
      <c r="F878" s="56"/>
      <c r="G878" s="57">
        <f t="shared" si="3"/>
        <v>0</v>
      </c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  <c r="AE878" s="58"/>
      <c r="AF878" s="58"/>
    </row>
    <row r="879">
      <c r="A879" s="87"/>
      <c r="B879" s="96"/>
      <c r="C879" s="86"/>
      <c r="D879" s="54">
        <f t="shared" si="1"/>
        <v>0</v>
      </c>
      <c r="E879" s="55">
        <f t="shared" si="2"/>
        <v>0</v>
      </c>
      <c r="F879" s="56"/>
      <c r="G879" s="57">
        <f t="shared" si="3"/>
        <v>0</v>
      </c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  <c r="AE879" s="58"/>
      <c r="AF879" s="58"/>
    </row>
    <row r="880">
      <c r="A880" s="87"/>
      <c r="B880" s="96"/>
      <c r="C880" s="86"/>
      <c r="D880" s="54">
        <f t="shared" si="1"/>
        <v>0</v>
      </c>
      <c r="E880" s="55">
        <f t="shared" si="2"/>
        <v>0</v>
      </c>
      <c r="F880" s="56"/>
      <c r="G880" s="57">
        <f t="shared" si="3"/>
        <v>0</v>
      </c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  <c r="AE880" s="58"/>
      <c r="AF880" s="58"/>
    </row>
    <row r="881">
      <c r="A881" s="87"/>
      <c r="B881" s="96"/>
      <c r="C881" s="86"/>
      <c r="D881" s="54">
        <f t="shared" si="1"/>
        <v>0</v>
      </c>
      <c r="E881" s="55">
        <f t="shared" si="2"/>
        <v>0</v>
      </c>
      <c r="F881" s="56"/>
      <c r="G881" s="57">
        <f t="shared" si="3"/>
        <v>0</v>
      </c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  <c r="AE881" s="58"/>
      <c r="AF881" s="58"/>
    </row>
    <row r="882">
      <c r="A882" s="87"/>
      <c r="B882" s="96"/>
      <c r="C882" s="86"/>
      <c r="D882" s="54">
        <f t="shared" si="1"/>
        <v>0</v>
      </c>
      <c r="E882" s="55">
        <f t="shared" si="2"/>
        <v>0</v>
      </c>
      <c r="F882" s="56"/>
      <c r="G882" s="57">
        <f t="shared" si="3"/>
        <v>0</v>
      </c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  <c r="AE882" s="58"/>
      <c r="AF882" s="58"/>
    </row>
    <row r="883">
      <c r="A883" s="87"/>
      <c r="B883" s="96"/>
      <c r="C883" s="86"/>
      <c r="D883" s="54">
        <f t="shared" si="1"/>
        <v>0</v>
      </c>
      <c r="E883" s="55">
        <f t="shared" si="2"/>
        <v>0</v>
      </c>
      <c r="F883" s="56"/>
      <c r="G883" s="57">
        <f t="shared" si="3"/>
        <v>0</v>
      </c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  <c r="AE883" s="58"/>
      <c r="AF883" s="58"/>
    </row>
    <row r="884">
      <c r="A884" s="87"/>
      <c r="B884" s="96"/>
      <c r="C884" s="86"/>
      <c r="D884" s="54">
        <f t="shared" si="1"/>
        <v>0</v>
      </c>
      <c r="E884" s="55">
        <f t="shared" si="2"/>
        <v>0</v>
      </c>
      <c r="F884" s="56"/>
      <c r="G884" s="57">
        <f t="shared" si="3"/>
        <v>0</v>
      </c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  <c r="AE884" s="58"/>
      <c r="AF884" s="58"/>
    </row>
    <row r="885">
      <c r="A885" s="87"/>
      <c r="B885" s="96"/>
      <c r="C885" s="86"/>
      <c r="D885" s="54">
        <f t="shared" si="1"/>
        <v>0</v>
      </c>
      <c r="E885" s="55">
        <f t="shared" si="2"/>
        <v>0</v>
      </c>
      <c r="F885" s="56"/>
      <c r="G885" s="57">
        <f t="shared" si="3"/>
        <v>0</v>
      </c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  <c r="AE885" s="58"/>
      <c r="AF885" s="58"/>
    </row>
    <row r="886">
      <c r="A886" s="87"/>
      <c r="B886" s="96"/>
      <c r="C886" s="86"/>
      <c r="D886" s="54">
        <f t="shared" si="1"/>
        <v>0</v>
      </c>
      <c r="E886" s="55">
        <f t="shared" si="2"/>
        <v>0</v>
      </c>
      <c r="F886" s="56"/>
      <c r="G886" s="57">
        <f t="shared" si="3"/>
        <v>0</v>
      </c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  <c r="AE886" s="58"/>
      <c r="AF886" s="58"/>
    </row>
    <row r="887">
      <c r="A887" s="87"/>
      <c r="B887" s="96"/>
      <c r="C887" s="86"/>
      <c r="D887" s="54">
        <f t="shared" si="1"/>
        <v>0</v>
      </c>
      <c r="E887" s="55">
        <f t="shared" si="2"/>
        <v>0</v>
      </c>
      <c r="F887" s="56"/>
      <c r="G887" s="57">
        <f t="shared" si="3"/>
        <v>0</v>
      </c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  <c r="AE887" s="58"/>
      <c r="AF887" s="58"/>
    </row>
    <row r="888">
      <c r="A888" s="87"/>
      <c r="B888" s="96"/>
      <c r="C888" s="86"/>
      <c r="D888" s="54">
        <f t="shared" si="1"/>
        <v>0</v>
      </c>
      <c r="E888" s="55">
        <f t="shared" si="2"/>
        <v>0</v>
      </c>
      <c r="F888" s="56"/>
      <c r="G888" s="57">
        <f t="shared" si="3"/>
        <v>0</v>
      </c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  <c r="AE888" s="58"/>
      <c r="AF888" s="58"/>
    </row>
    <row r="889">
      <c r="A889" s="87"/>
      <c r="B889" s="96"/>
      <c r="C889" s="86"/>
      <c r="D889" s="54">
        <f t="shared" si="1"/>
        <v>0</v>
      </c>
      <c r="E889" s="55">
        <f t="shared" si="2"/>
        <v>0</v>
      </c>
      <c r="F889" s="56"/>
      <c r="G889" s="57">
        <f t="shared" si="3"/>
        <v>0</v>
      </c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  <c r="AE889" s="58"/>
      <c r="AF889" s="58"/>
    </row>
    <row r="890">
      <c r="A890" s="87"/>
      <c r="B890" s="96"/>
      <c r="C890" s="86"/>
      <c r="D890" s="54">
        <f t="shared" si="1"/>
        <v>0</v>
      </c>
      <c r="E890" s="55">
        <f t="shared" si="2"/>
        <v>0</v>
      </c>
      <c r="F890" s="56"/>
      <c r="G890" s="57">
        <f t="shared" si="3"/>
        <v>0</v>
      </c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  <c r="AE890" s="58"/>
      <c r="AF890" s="58"/>
    </row>
    <row r="891">
      <c r="A891" s="87"/>
      <c r="B891" s="96"/>
      <c r="C891" s="86"/>
      <c r="D891" s="54">
        <f t="shared" si="1"/>
        <v>0</v>
      </c>
      <c r="E891" s="55">
        <f t="shared" si="2"/>
        <v>0</v>
      </c>
      <c r="F891" s="56"/>
      <c r="G891" s="57">
        <f t="shared" si="3"/>
        <v>0</v>
      </c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  <c r="AE891" s="58"/>
      <c r="AF891" s="58"/>
    </row>
    <row r="892">
      <c r="A892" s="87"/>
      <c r="B892" s="96"/>
      <c r="C892" s="86"/>
      <c r="D892" s="54">
        <f t="shared" si="1"/>
        <v>0</v>
      </c>
      <c r="E892" s="55">
        <f t="shared" si="2"/>
        <v>0</v>
      </c>
      <c r="F892" s="56"/>
      <c r="G892" s="57">
        <f t="shared" si="3"/>
        <v>0</v>
      </c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  <c r="AE892" s="58"/>
      <c r="AF892" s="58"/>
    </row>
    <row r="893">
      <c r="A893" s="87"/>
      <c r="B893" s="96"/>
      <c r="C893" s="86"/>
      <c r="D893" s="54">
        <f t="shared" si="1"/>
        <v>0</v>
      </c>
      <c r="E893" s="55">
        <f t="shared" si="2"/>
        <v>0</v>
      </c>
      <c r="F893" s="56"/>
      <c r="G893" s="57">
        <f t="shared" si="3"/>
        <v>0</v>
      </c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  <c r="AE893" s="58"/>
      <c r="AF893" s="58"/>
    </row>
    <row r="894">
      <c r="A894" s="87"/>
      <c r="B894" s="96"/>
      <c r="C894" s="86"/>
      <c r="D894" s="54">
        <f t="shared" si="1"/>
        <v>0</v>
      </c>
      <c r="E894" s="55">
        <f t="shared" si="2"/>
        <v>0</v>
      </c>
      <c r="F894" s="56"/>
      <c r="G894" s="57">
        <f t="shared" si="3"/>
        <v>0</v>
      </c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  <c r="AE894" s="58"/>
      <c r="AF894" s="58"/>
    </row>
    <row r="895">
      <c r="A895" s="87"/>
      <c r="B895" s="96"/>
      <c r="C895" s="86"/>
      <c r="D895" s="54">
        <f t="shared" si="1"/>
        <v>0</v>
      </c>
      <c r="E895" s="55">
        <f t="shared" si="2"/>
        <v>0</v>
      </c>
      <c r="F895" s="56"/>
      <c r="G895" s="57">
        <f t="shared" si="3"/>
        <v>0</v>
      </c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  <c r="AE895" s="58"/>
      <c r="AF895" s="58"/>
    </row>
    <row r="896">
      <c r="A896" s="87"/>
      <c r="B896" s="96"/>
      <c r="C896" s="86"/>
      <c r="D896" s="54">
        <f t="shared" si="1"/>
        <v>0</v>
      </c>
      <c r="E896" s="55">
        <f t="shared" si="2"/>
        <v>0</v>
      </c>
      <c r="F896" s="56"/>
      <c r="G896" s="57">
        <f t="shared" si="3"/>
        <v>0</v>
      </c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  <c r="AE896" s="58"/>
      <c r="AF896" s="58"/>
    </row>
    <row r="897">
      <c r="A897" s="87"/>
      <c r="B897" s="96"/>
      <c r="C897" s="86"/>
      <c r="D897" s="54">
        <f t="shared" si="1"/>
        <v>0</v>
      </c>
      <c r="E897" s="55">
        <f t="shared" si="2"/>
        <v>0</v>
      </c>
      <c r="F897" s="56"/>
      <c r="G897" s="57">
        <f t="shared" si="3"/>
        <v>0</v>
      </c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  <c r="AE897" s="58"/>
      <c r="AF897" s="58"/>
    </row>
    <row r="898">
      <c r="A898" s="87"/>
      <c r="B898" s="96"/>
      <c r="C898" s="86"/>
      <c r="D898" s="54">
        <f t="shared" si="1"/>
        <v>0</v>
      </c>
      <c r="E898" s="55">
        <f t="shared" si="2"/>
        <v>0</v>
      </c>
      <c r="F898" s="56"/>
      <c r="G898" s="57">
        <f t="shared" si="3"/>
        <v>0</v>
      </c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  <c r="AE898" s="58"/>
      <c r="AF898" s="58"/>
    </row>
    <row r="899">
      <c r="A899" s="87"/>
      <c r="B899" s="96"/>
      <c r="C899" s="86"/>
      <c r="D899" s="54">
        <f t="shared" si="1"/>
        <v>0</v>
      </c>
      <c r="E899" s="55">
        <f t="shared" si="2"/>
        <v>0</v>
      </c>
      <c r="F899" s="56"/>
      <c r="G899" s="57">
        <f t="shared" si="3"/>
        <v>0</v>
      </c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  <c r="AE899" s="58"/>
      <c r="AF899" s="58"/>
    </row>
    <row r="900">
      <c r="A900" s="87"/>
      <c r="B900" s="96"/>
      <c r="C900" s="86"/>
      <c r="D900" s="54">
        <f t="shared" si="1"/>
        <v>0</v>
      </c>
      <c r="E900" s="55">
        <f t="shared" si="2"/>
        <v>0</v>
      </c>
      <c r="F900" s="56"/>
      <c r="G900" s="57">
        <f t="shared" si="3"/>
        <v>0</v>
      </c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  <c r="AE900" s="58"/>
      <c r="AF900" s="58"/>
    </row>
    <row r="901">
      <c r="A901" s="87"/>
      <c r="B901" s="96"/>
      <c r="C901" s="86"/>
      <c r="D901" s="54">
        <f t="shared" si="1"/>
        <v>0</v>
      </c>
      <c r="E901" s="55">
        <f t="shared" si="2"/>
        <v>0</v>
      </c>
      <c r="F901" s="56"/>
      <c r="G901" s="57">
        <f t="shared" si="3"/>
        <v>0</v>
      </c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  <c r="AE901" s="58"/>
      <c r="AF901" s="58"/>
    </row>
    <row r="902">
      <c r="A902" s="87"/>
      <c r="B902" s="96"/>
      <c r="C902" s="86"/>
      <c r="D902" s="54">
        <f t="shared" si="1"/>
        <v>0</v>
      </c>
      <c r="E902" s="55">
        <f t="shared" si="2"/>
        <v>0</v>
      </c>
      <c r="F902" s="56"/>
      <c r="G902" s="57">
        <f t="shared" si="3"/>
        <v>0</v>
      </c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  <c r="AE902" s="58"/>
      <c r="AF902" s="58"/>
    </row>
    <row r="903">
      <c r="A903" s="87"/>
      <c r="B903" s="96"/>
      <c r="C903" s="86"/>
      <c r="D903" s="54">
        <f t="shared" si="1"/>
        <v>0</v>
      </c>
      <c r="E903" s="55">
        <f t="shared" si="2"/>
        <v>0</v>
      </c>
      <c r="F903" s="56"/>
      <c r="G903" s="57">
        <f t="shared" si="3"/>
        <v>0</v>
      </c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  <c r="AE903" s="58"/>
      <c r="AF903" s="58"/>
    </row>
    <row r="904">
      <c r="A904" s="87"/>
      <c r="B904" s="96"/>
      <c r="C904" s="86"/>
      <c r="D904" s="54">
        <f t="shared" si="1"/>
        <v>0</v>
      </c>
      <c r="E904" s="55">
        <f t="shared" si="2"/>
        <v>0</v>
      </c>
      <c r="F904" s="56"/>
      <c r="G904" s="57">
        <f t="shared" si="3"/>
        <v>0</v>
      </c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  <c r="AE904" s="58"/>
      <c r="AF904" s="58"/>
    </row>
    <row r="905">
      <c r="A905" s="87"/>
      <c r="B905" s="96"/>
      <c r="C905" s="86"/>
      <c r="D905" s="54">
        <f t="shared" si="1"/>
        <v>0</v>
      </c>
      <c r="E905" s="55">
        <f t="shared" si="2"/>
        <v>0</v>
      </c>
      <c r="F905" s="56"/>
      <c r="G905" s="57">
        <f t="shared" si="3"/>
        <v>0</v>
      </c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  <c r="AE905" s="58"/>
      <c r="AF905" s="58"/>
    </row>
    <row r="906">
      <c r="A906" s="87"/>
      <c r="B906" s="96"/>
      <c r="C906" s="86"/>
      <c r="D906" s="54">
        <f t="shared" si="1"/>
        <v>0</v>
      </c>
      <c r="E906" s="55">
        <f t="shared" si="2"/>
        <v>0</v>
      </c>
      <c r="F906" s="56"/>
      <c r="G906" s="57">
        <f t="shared" si="3"/>
        <v>0</v>
      </c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  <c r="AE906" s="58"/>
      <c r="AF906" s="58"/>
    </row>
    <row r="907">
      <c r="A907" s="87"/>
      <c r="B907" s="96"/>
      <c r="C907" s="86"/>
      <c r="D907" s="54">
        <f t="shared" si="1"/>
        <v>0</v>
      </c>
      <c r="E907" s="55">
        <f t="shared" si="2"/>
        <v>0</v>
      </c>
      <c r="F907" s="56"/>
      <c r="G907" s="57">
        <f t="shared" si="3"/>
        <v>0</v>
      </c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  <c r="AE907" s="58"/>
      <c r="AF907" s="58"/>
    </row>
    <row r="908">
      <c r="A908" s="87"/>
      <c r="B908" s="96"/>
      <c r="C908" s="86"/>
      <c r="D908" s="54">
        <f t="shared" si="1"/>
        <v>0</v>
      </c>
      <c r="E908" s="55">
        <f t="shared" si="2"/>
        <v>0</v>
      </c>
      <c r="F908" s="56"/>
      <c r="G908" s="57">
        <f t="shared" si="3"/>
        <v>0</v>
      </c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  <c r="AE908" s="58"/>
      <c r="AF908" s="58"/>
    </row>
    <row r="909">
      <c r="A909" s="87"/>
      <c r="B909" s="96"/>
      <c r="C909" s="86"/>
      <c r="D909" s="54">
        <f t="shared" si="1"/>
        <v>0</v>
      </c>
      <c r="E909" s="55">
        <f t="shared" si="2"/>
        <v>0</v>
      </c>
      <c r="F909" s="56"/>
      <c r="G909" s="57">
        <f t="shared" si="3"/>
        <v>0</v>
      </c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  <c r="AE909" s="58"/>
      <c r="AF909" s="58"/>
    </row>
    <row r="910">
      <c r="A910" s="87"/>
      <c r="B910" s="96"/>
      <c r="C910" s="86"/>
      <c r="D910" s="54">
        <f t="shared" si="1"/>
        <v>0</v>
      </c>
      <c r="E910" s="55">
        <f t="shared" si="2"/>
        <v>0</v>
      </c>
      <c r="F910" s="56"/>
      <c r="G910" s="57">
        <f t="shared" si="3"/>
        <v>0</v>
      </c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  <c r="AE910" s="58"/>
      <c r="AF910" s="58"/>
    </row>
    <row r="911">
      <c r="A911" s="87"/>
      <c r="B911" s="96"/>
      <c r="C911" s="86"/>
      <c r="D911" s="54">
        <f t="shared" si="1"/>
        <v>0</v>
      </c>
      <c r="E911" s="55">
        <f t="shared" si="2"/>
        <v>0</v>
      </c>
      <c r="F911" s="56"/>
      <c r="G911" s="57">
        <f t="shared" si="3"/>
        <v>0</v>
      </c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  <c r="AE911" s="58"/>
      <c r="AF911" s="58"/>
    </row>
    <row r="912">
      <c r="A912" s="87"/>
      <c r="B912" s="96"/>
      <c r="C912" s="86"/>
      <c r="D912" s="54">
        <f t="shared" si="1"/>
        <v>0</v>
      </c>
      <c r="E912" s="55">
        <f t="shared" si="2"/>
        <v>0</v>
      </c>
      <c r="F912" s="56"/>
      <c r="G912" s="57">
        <f t="shared" si="3"/>
        <v>0</v>
      </c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  <c r="AE912" s="58"/>
      <c r="AF912" s="58"/>
    </row>
    <row r="913">
      <c r="A913" s="87"/>
      <c r="B913" s="96"/>
      <c r="C913" s="86"/>
      <c r="D913" s="54">
        <f t="shared" si="1"/>
        <v>0</v>
      </c>
      <c r="E913" s="55">
        <f t="shared" si="2"/>
        <v>0</v>
      </c>
      <c r="F913" s="56"/>
      <c r="G913" s="57">
        <f t="shared" si="3"/>
        <v>0</v>
      </c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  <c r="AE913" s="58"/>
      <c r="AF913" s="58"/>
    </row>
    <row r="914">
      <c r="A914" s="87"/>
      <c r="B914" s="96"/>
      <c r="C914" s="86"/>
      <c r="D914" s="54">
        <f t="shared" si="1"/>
        <v>0</v>
      </c>
      <c r="E914" s="55">
        <f t="shared" si="2"/>
        <v>0</v>
      </c>
      <c r="F914" s="56"/>
      <c r="G914" s="57">
        <f t="shared" si="3"/>
        <v>0</v>
      </c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  <c r="AE914" s="58"/>
      <c r="AF914" s="58"/>
    </row>
    <row r="915">
      <c r="A915" s="87"/>
      <c r="B915" s="96"/>
      <c r="C915" s="86"/>
      <c r="D915" s="54">
        <f t="shared" si="1"/>
        <v>0</v>
      </c>
      <c r="E915" s="55">
        <f t="shared" si="2"/>
        <v>0</v>
      </c>
      <c r="F915" s="56"/>
      <c r="G915" s="57">
        <f t="shared" si="3"/>
        <v>0</v>
      </c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  <c r="AE915" s="58"/>
      <c r="AF915" s="58"/>
    </row>
    <row r="916">
      <c r="A916" s="87"/>
      <c r="B916" s="96"/>
      <c r="C916" s="86"/>
      <c r="D916" s="54">
        <f t="shared" si="1"/>
        <v>0</v>
      </c>
      <c r="E916" s="55">
        <f t="shared" si="2"/>
        <v>0</v>
      </c>
      <c r="F916" s="56"/>
      <c r="G916" s="57">
        <f t="shared" si="3"/>
        <v>0</v>
      </c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  <c r="AE916" s="58"/>
      <c r="AF916" s="58"/>
    </row>
    <row r="917">
      <c r="A917" s="87"/>
      <c r="B917" s="96"/>
      <c r="C917" s="86"/>
      <c r="D917" s="54">
        <f t="shared" si="1"/>
        <v>0</v>
      </c>
      <c r="E917" s="55">
        <f t="shared" si="2"/>
        <v>0</v>
      </c>
      <c r="F917" s="56"/>
      <c r="G917" s="57">
        <f t="shared" si="3"/>
        <v>0</v>
      </c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  <c r="AE917" s="58"/>
      <c r="AF917" s="58"/>
    </row>
    <row r="918">
      <c r="A918" s="87"/>
      <c r="B918" s="96"/>
      <c r="C918" s="86"/>
      <c r="D918" s="54">
        <f t="shared" si="1"/>
        <v>0</v>
      </c>
      <c r="E918" s="55">
        <f t="shared" si="2"/>
        <v>0</v>
      </c>
      <c r="F918" s="56"/>
      <c r="G918" s="57">
        <f t="shared" si="3"/>
        <v>0</v>
      </c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  <c r="AE918" s="58"/>
      <c r="AF918" s="58"/>
    </row>
    <row r="919">
      <c r="A919" s="87"/>
      <c r="B919" s="96"/>
      <c r="C919" s="86"/>
      <c r="D919" s="54">
        <f t="shared" si="1"/>
        <v>0</v>
      </c>
      <c r="E919" s="55">
        <f t="shared" si="2"/>
        <v>0</v>
      </c>
      <c r="F919" s="56"/>
      <c r="G919" s="57">
        <f t="shared" si="3"/>
        <v>0</v>
      </c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  <c r="AE919" s="58"/>
      <c r="AF919" s="58"/>
    </row>
    <row r="920">
      <c r="A920" s="87"/>
      <c r="B920" s="96"/>
      <c r="C920" s="86"/>
      <c r="D920" s="54">
        <f t="shared" si="1"/>
        <v>0</v>
      </c>
      <c r="E920" s="55">
        <f t="shared" si="2"/>
        <v>0</v>
      </c>
      <c r="F920" s="56"/>
      <c r="G920" s="57">
        <f t="shared" si="3"/>
        <v>0</v>
      </c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  <c r="AE920" s="58"/>
      <c r="AF920" s="58"/>
    </row>
    <row r="921">
      <c r="A921" s="87"/>
      <c r="B921" s="96"/>
      <c r="C921" s="86"/>
      <c r="D921" s="54">
        <f t="shared" si="1"/>
        <v>0</v>
      </c>
      <c r="E921" s="55">
        <f t="shared" si="2"/>
        <v>0</v>
      </c>
      <c r="F921" s="56"/>
      <c r="G921" s="57">
        <f t="shared" si="3"/>
        <v>0</v>
      </c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  <c r="AE921" s="58"/>
      <c r="AF921" s="58"/>
    </row>
    <row r="922">
      <c r="A922" s="87"/>
      <c r="B922" s="96"/>
      <c r="C922" s="86"/>
      <c r="D922" s="54">
        <f t="shared" si="1"/>
        <v>0</v>
      </c>
      <c r="E922" s="55">
        <f t="shared" si="2"/>
        <v>0</v>
      </c>
      <c r="F922" s="56"/>
      <c r="G922" s="57">
        <f t="shared" si="3"/>
        <v>0</v>
      </c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  <c r="AE922" s="58"/>
      <c r="AF922" s="58"/>
    </row>
    <row r="923">
      <c r="A923" s="87"/>
      <c r="B923" s="96"/>
      <c r="C923" s="86"/>
      <c r="D923" s="54">
        <f t="shared" si="1"/>
        <v>0</v>
      </c>
      <c r="E923" s="55">
        <f t="shared" si="2"/>
        <v>0</v>
      </c>
      <c r="F923" s="56"/>
      <c r="G923" s="57">
        <f t="shared" si="3"/>
        <v>0</v>
      </c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  <c r="AE923" s="58"/>
      <c r="AF923" s="58"/>
    </row>
    <row r="924">
      <c r="A924" s="87"/>
      <c r="B924" s="96"/>
      <c r="C924" s="86"/>
      <c r="D924" s="54">
        <f t="shared" si="1"/>
        <v>0</v>
      </c>
      <c r="E924" s="55">
        <f t="shared" si="2"/>
        <v>0</v>
      </c>
      <c r="F924" s="56"/>
      <c r="G924" s="57">
        <f t="shared" si="3"/>
        <v>0</v>
      </c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  <c r="AE924" s="58"/>
      <c r="AF924" s="58"/>
    </row>
    <row r="925">
      <c r="A925" s="87"/>
      <c r="B925" s="96"/>
      <c r="C925" s="86"/>
      <c r="D925" s="54">
        <f t="shared" si="1"/>
        <v>0</v>
      </c>
      <c r="E925" s="55">
        <f t="shared" si="2"/>
        <v>0</v>
      </c>
      <c r="F925" s="56"/>
      <c r="G925" s="57">
        <f t="shared" si="3"/>
        <v>0</v>
      </c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  <c r="AE925" s="58"/>
      <c r="AF925" s="58"/>
    </row>
    <row r="926">
      <c r="A926" s="87"/>
      <c r="B926" s="96"/>
      <c r="C926" s="86"/>
      <c r="D926" s="54">
        <f t="shared" si="1"/>
        <v>0</v>
      </c>
      <c r="E926" s="55">
        <f t="shared" si="2"/>
        <v>0</v>
      </c>
      <c r="F926" s="56"/>
      <c r="G926" s="57">
        <f t="shared" si="3"/>
        <v>0</v>
      </c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  <c r="AE926" s="58"/>
      <c r="AF926" s="58"/>
    </row>
    <row r="927">
      <c r="A927" s="87"/>
      <c r="B927" s="96"/>
      <c r="C927" s="86"/>
      <c r="D927" s="54">
        <f t="shared" si="1"/>
        <v>0</v>
      </c>
      <c r="E927" s="55">
        <f t="shared" si="2"/>
        <v>0</v>
      </c>
      <c r="F927" s="56"/>
      <c r="G927" s="57">
        <f t="shared" si="3"/>
        <v>0</v>
      </c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  <c r="AE927" s="58"/>
      <c r="AF927" s="58"/>
    </row>
    <row r="928">
      <c r="A928" s="87"/>
      <c r="B928" s="96"/>
      <c r="C928" s="86"/>
      <c r="D928" s="54">
        <f t="shared" si="1"/>
        <v>0</v>
      </c>
      <c r="E928" s="55">
        <f t="shared" si="2"/>
        <v>0</v>
      </c>
      <c r="F928" s="56"/>
      <c r="G928" s="57">
        <f t="shared" si="3"/>
        <v>0</v>
      </c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  <c r="AE928" s="58"/>
      <c r="AF928" s="58"/>
    </row>
    <row r="929">
      <c r="A929" s="87"/>
      <c r="B929" s="96"/>
      <c r="C929" s="86"/>
      <c r="D929" s="54">
        <f t="shared" si="1"/>
        <v>0</v>
      </c>
      <c r="E929" s="55">
        <f t="shared" si="2"/>
        <v>0</v>
      </c>
      <c r="F929" s="56"/>
      <c r="G929" s="57">
        <f t="shared" si="3"/>
        <v>0</v>
      </c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  <c r="AE929" s="58"/>
      <c r="AF929" s="58"/>
    </row>
    <row r="930">
      <c r="A930" s="87"/>
      <c r="B930" s="96"/>
      <c r="C930" s="86"/>
      <c r="D930" s="54">
        <f t="shared" si="1"/>
        <v>0</v>
      </c>
      <c r="E930" s="55">
        <f t="shared" si="2"/>
        <v>0</v>
      </c>
      <c r="F930" s="56"/>
      <c r="G930" s="57">
        <f t="shared" si="3"/>
        <v>0</v>
      </c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  <c r="AE930" s="58"/>
      <c r="AF930" s="58"/>
    </row>
    <row r="931">
      <c r="A931" s="87"/>
      <c r="B931" s="96"/>
      <c r="C931" s="86"/>
      <c r="D931" s="54">
        <f t="shared" si="1"/>
        <v>0</v>
      </c>
      <c r="E931" s="55">
        <f t="shared" si="2"/>
        <v>0</v>
      </c>
      <c r="F931" s="56"/>
      <c r="G931" s="57">
        <f t="shared" si="3"/>
        <v>0</v>
      </c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  <c r="AE931" s="58"/>
      <c r="AF931" s="58"/>
    </row>
    <row r="932">
      <c r="A932" s="87"/>
      <c r="B932" s="96"/>
      <c r="C932" s="86"/>
      <c r="D932" s="54">
        <f t="shared" si="1"/>
        <v>0</v>
      </c>
      <c r="E932" s="55">
        <f t="shared" si="2"/>
        <v>0</v>
      </c>
      <c r="F932" s="56"/>
      <c r="G932" s="57">
        <f t="shared" si="3"/>
        <v>0</v>
      </c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  <c r="AE932" s="58"/>
      <c r="AF932" s="58"/>
    </row>
    <row r="933">
      <c r="A933" s="87"/>
      <c r="B933" s="96"/>
      <c r="C933" s="86"/>
      <c r="D933" s="54">
        <f t="shared" si="1"/>
        <v>0</v>
      </c>
      <c r="E933" s="55">
        <f t="shared" si="2"/>
        <v>0</v>
      </c>
      <c r="F933" s="56"/>
      <c r="G933" s="57">
        <f t="shared" si="3"/>
        <v>0</v>
      </c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  <c r="AE933" s="58"/>
      <c r="AF933" s="58"/>
    </row>
    <row r="934">
      <c r="A934" s="87"/>
      <c r="B934" s="96"/>
      <c r="C934" s="86"/>
      <c r="D934" s="54">
        <f t="shared" si="1"/>
        <v>0</v>
      </c>
      <c r="E934" s="55">
        <f t="shared" si="2"/>
        <v>0</v>
      </c>
      <c r="F934" s="56"/>
      <c r="G934" s="57">
        <f t="shared" si="3"/>
        <v>0</v>
      </c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  <c r="AE934" s="58"/>
      <c r="AF934" s="58"/>
    </row>
    <row r="935">
      <c r="A935" s="87"/>
      <c r="B935" s="96"/>
      <c r="C935" s="86"/>
      <c r="D935" s="54">
        <f t="shared" si="1"/>
        <v>0</v>
      </c>
      <c r="E935" s="55">
        <f t="shared" si="2"/>
        <v>0</v>
      </c>
      <c r="F935" s="56"/>
      <c r="G935" s="57">
        <f t="shared" si="3"/>
        <v>0</v>
      </c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  <c r="AE935" s="58"/>
      <c r="AF935" s="58"/>
    </row>
    <row r="936">
      <c r="A936" s="87"/>
      <c r="B936" s="96"/>
      <c r="C936" s="86"/>
      <c r="D936" s="54">
        <f t="shared" si="1"/>
        <v>0</v>
      </c>
      <c r="E936" s="55">
        <f t="shared" si="2"/>
        <v>0</v>
      </c>
      <c r="F936" s="56"/>
      <c r="G936" s="57">
        <f t="shared" si="3"/>
        <v>0</v>
      </c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  <c r="AE936" s="58"/>
      <c r="AF936" s="58"/>
    </row>
    <row r="937">
      <c r="A937" s="87"/>
      <c r="B937" s="96"/>
      <c r="C937" s="86"/>
      <c r="D937" s="54">
        <f t="shared" si="1"/>
        <v>0</v>
      </c>
      <c r="E937" s="55">
        <f t="shared" si="2"/>
        <v>0</v>
      </c>
      <c r="F937" s="56"/>
      <c r="G937" s="57">
        <f t="shared" si="3"/>
        <v>0</v>
      </c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  <c r="AE937" s="58"/>
      <c r="AF937" s="58"/>
    </row>
    <row r="938">
      <c r="A938" s="87"/>
      <c r="B938" s="96"/>
      <c r="C938" s="86"/>
      <c r="D938" s="54">
        <f t="shared" si="1"/>
        <v>0</v>
      </c>
      <c r="E938" s="55">
        <f t="shared" si="2"/>
        <v>0</v>
      </c>
      <c r="F938" s="56"/>
      <c r="G938" s="57">
        <f t="shared" si="3"/>
        <v>0</v>
      </c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  <c r="AE938" s="58"/>
      <c r="AF938" s="58"/>
    </row>
    <row r="939">
      <c r="A939" s="87"/>
      <c r="B939" s="96"/>
      <c r="C939" s="86"/>
      <c r="D939" s="54">
        <f t="shared" si="1"/>
        <v>0</v>
      </c>
      <c r="E939" s="55">
        <f t="shared" si="2"/>
        <v>0</v>
      </c>
      <c r="F939" s="56"/>
      <c r="G939" s="57">
        <f t="shared" si="3"/>
        <v>0</v>
      </c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  <c r="AE939" s="58"/>
      <c r="AF939" s="58"/>
    </row>
    <row r="940">
      <c r="A940" s="87"/>
      <c r="B940" s="96"/>
      <c r="C940" s="86"/>
      <c r="D940" s="54">
        <f t="shared" si="1"/>
        <v>0</v>
      </c>
      <c r="E940" s="55">
        <f t="shared" si="2"/>
        <v>0</v>
      </c>
      <c r="F940" s="56"/>
      <c r="G940" s="57">
        <f t="shared" si="3"/>
        <v>0</v>
      </c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  <c r="AE940" s="58"/>
      <c r="AF940" s="58"/>
    </row>
    <row r="941">
      <c r="A941" s="87"/>
      <c r="B941" s="96"/>
      <c r="C941" s="86"/>
      <c r="D941" s="54">
        <f t="shared" si="1"/>
        <v>0</v>
      </c>
      <c r="E941" s="55">
        <f t="shared" si="2"/>
        <v>0</v>
      </c>
      <c r="F941" s="56"/>
      <c r="G941" s="57">
        <f t="shared" si="3"/>
        <v>0</v>
      </c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  <c r="AE941" s="58"/>
      <c r="AF941" s="58"/>
    </row>
    <row r="942">
      <c r="A942" s="87"/>
      <c r="B942" s="96"/>
      <c r="C942" s="86"/>
      <c r="D942" s="54">
        <f t="shared" si="1"/>
        <v>0</v>
      </c>
      <c r="E942" s="55">
        <f t="shared" si="2"/>
        <v>0</v>
      </c>
      <c r="F942" s="56"/>
      <c r="G942" s="57">
        <f t="shared" si="3"/>
        <v>0</v>
      </c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  <c r="AE942" s="58"/>
      <c r="AF942" s="58"/>
    </row>
    <row r="943">
      <c r="A943" s="87"/>
      <c r="B943" s="96"/>
      <c r="C943" s="86"/>
      <c r="D943" s="54">
        <f t="shared" si="1"/>
        <v>0</v>
      </c>
      <c r="E943" s="55">
        <f t="shared" si="2"/>
        <v>0</v>
      </c>
      <c r="F943" s="56"/>
      <c r="G943" s="57">
        <f t="shared" si="3"/>
        <v>0</v>
      </c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  <c r="AE943" s="58"/>
      <c r="AF943" s="58"/>
    </row>
    <row r="944">
      <c r="A944" s="87"/>
      <c r="B944" s="96"/>
      <c r="C944" s="86"/>
      <c r="D944" s="54">
        <f t="shared" si="1"/>
        <v>0</v>
      </c>
      <c r="E944" s="55">
        <f t="shared" si="2"/>
        <v>0</v>
      </c>
      <c r="F944" s="56"/>
      <c r="G944" s="57">
        <f t="shared" si="3"/>
        <v>0</v>
      </c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  <c r="AE944" s="58"/>
      <c r="AF944" s="58"/>
    </row>
    <row r="945">
      <c r="A945" s="87"/>
      <c r="B945" s="96"/>
      <c r="C945" s="86"/>
      <c r="D945" s="54">
        <f t="shared" si="1"/>
        <v>0</v>
      </c>
      <c r="E945" s="55">
        <f t="shared" si="2"/>
        <v>0</v>
      </c>
      <c r="F945" s="56"/>
      <c r="G945" s="57">
        <f t="shared" si="3"/>
        <v>0</v>
      </c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  <c r="AE945" s="58"/>
      <c r="AF945" s="58"/>
    </row>
    <row r="946">
      <c r="A946" s="87"/>
      <c r="B946" s="96"/>
      <c r="C946" s="86"/>
      <c r="D946" s="54">
        <f t="shared" si="1"/>
        <v>0</v>
      </c>
      <c r="E946" s="55">
        <f t="shared" si="2"/>
        <v>0</v>
      </c>
      <c r="F946" s="56"/>
      <c r="G946" s="57">
        <f t="shared" si="3"/>
        <v>0</v>
      </c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  <c r="AE946" s="58"/>
      <c r="AF946" s="58"/>
    </row>
    <row r="947">
      <c r="A947" s="87"/>
      <c r="B947" s="96"/>
      <c r="C947" s="86"/>
      <c r="D947" s="54">
        <f t="shared" si="1"/>
        <v>0</v>
      </c>
      <c r="E947" s="55">
        <f t="shared" si="2"/>
        <v>0</v>
      </c>
      <c r="F947" s="56"/>
      <c r="G947" s="57">
        <f t="shared" si="3"/>
        <v>0</v>
      </c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  <c r="AE947" s="58"/>
      <c r="AF947" s="58"/>
    </row>
    <row r="948">
      <c r="A948" s="87"/>
      <c r="B948" s="96"/>
      <c r="C948" s="86"/>
      <c r="D948" s="54">
        <f t="shared" si="1"/>
        <v>0</v>
      </c>
      <c r="E948" s="55">
        <f t="shared" si="2"/>
        <v>0</v>
      </c>
      <c r="F948" s="56"/>
      <c r="G948" s="57">
        <f t="shared" si="3"/>
        <v>0</v>
      </c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  <c r="AE948" s="58"/>
      <c r="AF948" s="58"/>
    </row>
    <row r="949">
      <c r="A949" s="87"/>
      <c r="B949" s="96"/>
      <c r="C949" s="86"/>
      <c r="D949" s="54">
        <f t="shared" si="1"/>
        <v>0</v>
      </c>
      <c r="E949" s="55">
        <f t="shared" si="2"/>
        <v>0</v>
      </c>
      <c r="F949" s="56"/>
      <c r="G949" s="57">
        <f t="shared" si="3"/>
        <v>0</v>
      </c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  <c r="AE949" s="58"/>
      <c r="AF949" s="58"/>
    </row>
    <row r="950">
      <c r="A950" s="87"/>
      <c r="B950" s="96"/>
      <c r="C950" s="86"/>
      <c r="D950" s="54">
        <f t="shared" si="1"/>
        <v>0</v>
      </c>
      <c r="E950" s="55">
        <f t="shared" si="2"/>
        <v>0</v>
      </c>
      <c r="F950" s="56"/>
      <c r="G950" s="57">
        <f t="shared" si="3"/>
        <v>0</v>
      </c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  <c r="AE950" s="58"/>
      <c r="AF950" s="58"/>
    </row>
    <row r="951">
      <c r="A951" s="87"/>
      <c r="B951" s="96"/>
      <c r="C951" s="86"/>
      <c r="D951" s="54">
        <f t="shared" si="1"/>
        <v>0</v>
      </c>
      <c r="E951" s="55">
        <f t="shared" si="2"/>
        <v>0</v>
      </c>
      <c r="F951" s="56"/>
      <c r="G951" s="57">
        <f t="shared" si="3"/>
        <v>0</v>
      </c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  <c r="AE951" s="58"/>
      <c r="AF951" s="58"/>
    </row>
    <row r="952">
      <c r="A952" s="87"/>
      <c r="B952" s="96"/>
      <c r="C952" s="86"/>
      <c r="D952" s="54">
        <f t="shared" si="1"/>
        <v>0</v>
      </c>
      <c r="E952" s="55">
        <f t="shared" si="2"/>
        <v>0</v>
      </c>
      <c r="F952" s="56"/>
      <c r="G952" s="57">
        <f t="shared" si="3"/>
        <v>0</v>
      </c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  <c r="AE952" s="58"/>
      <c r="AF952" s="58"/>
    </row>
    <row r="953">
      <c r="A953" s="87"/>
      <c r="B953" s="96"/>
      <c r="C953" s="86"/>
      <c r="D953" s="54">
        <f t="shared" si="1"/>
        <v>0</v>
      </c>
      <c r="E953" s="55">
        <f t="shared" si="2"/>
        <v>0</v>
      </c>
      <c r="F953" s="56"/>
      <c r="G953" s="57">
        <f t="shared" si="3"/>
        <v>0</v>
      </c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  <c r="AE953" s="58"/>
      <c r="AF953" s="58"/>
    </row>
    <row r="954">
      <c r="A954" s="87"/>
      <c r="B954" s="96"/>
      <c r="C954" s="86"/>
      <c r="D954" s="54">
        <f t="shared" si="1"/>
        <v>0</v>
      </c>
      <c r="E954" s="55">
        <f t="shared" si="2"/>
        <v>0</v>
      </c>
      <c r="F954" s="56"/>
      <c r="G954" s="57">
        <f t="shared" si="3"/>
        <v>0</v>
      </c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  <c r="AE954" s="58"/>
      <c r="AF954" s="58"/>
    </row>
    <row r="955">
      <c r="A955" s="87"/>
      <c r="B955" s="96"/>
      <c r="C955" s="86"/>
      <c r="D955" s="54">
        <f t="shared" si="1"/>
        <v>0</v>
      </c>
      <c r="E955" s="55">
        <f t="shared" si="2"/>
        <v>0</v>
      </c>
      <c r="F955" s="56"/>
      <c r="G955" s="57">
        <f t="shared" si="3"/>
        <v>0</v>
      </c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  <c r="AE955" s="58"/>
      <c r="AF955" s="58"/>
    </row>
    <row r="956">
      <c r="A956" s="87"/>
      <c r="B956" s="96"/>
      <c r="C956" s="86"/>
      <c r="D956" s="54">
        <f t="shared" si="1"/>
        <v>0</v>
      </c>
      <c r="E956" s="55">
        <f t="shared" si="2"/>
        <v>0</v>
      </c>
      <c r="F956" s="56"/>
      <c r="G956" s="57">
        <f t="shared" si="3"/>
        <v>0</v>
      </c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  <c r="AE956" s="58"/>
      <c r="AF956" s="58"/>
    </row>
    <row r="957">
      <c r="A957" s="87"/>
      <c r="B957" s="96"/>
      <c r="C957" s="86"/>
      <c r="D957" s="54">
        <f t="shared" si="1"/>
        <v>0</v>
      </c>
      <c r="E957" s="55">
        <f t="shared" si="2"/>
        <v>0</v>
      </c>
      <c r="F957" s="56"/>
      <c r="G957" s="57">
        <f t="shared" si="3"/>
        <v>0</v>
      </c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  <c r="AE957" s="58"/>
      <c r="AF957" s="58"/>
    </row>
    <row r="958">
      <c r="A958" s="87"/>
      <c r="B958" s="96"/>
      <c r="C958" s="86"/>
      <c r="D958" s="54">
        <f t="shared" si="1"/>
        <v>0</v>
      </c>
      <c r="E958" s="55">
        <f t="shared" si="2"/>
        <v>0</v>
      </c>
      <c r="F958" s="56"/>
      <c r="G958" s="57">
        <f t="shared" si="3"/>
        <v>0</v>
      </c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  <c r="AE958" s="58"/>
      <c r="AF958" s="58"/>
    </row>
    <row r="959">
      <c r="A959" s="87"/>
      <c r="B959" s="96"/>
      <c r="C959" s="86"/>
      <c r="D959" s="54">
        <f t="shared" si="1"/>
        <v>0</v>
      </c>
      <c r="E959" s="55">
        <f t="shared" si="2"/>
        <v>0</v>
      </c>
      <c r="F959" s="56"/>
      <c r="G959" s="57">
        <f t="shared" si="3"/>
        <v>0</v>
      </c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  <c r="AE959" s="58"/>
      <c r="AF959" s="58"/>
    </row>
    <row r="960">
      <c r="A960" s="87"/>
      <c r="B960" s="96"/>
      <c r="C960" s="86"/>
      <c r="D960" s="54">
        <f t="shared" si="1"/>
        <v>0</v>
      </c>
      <c r="E960" s="55">
        <f t="shared" si="2"/>
        <v>0</v>
      </c>
      <c r="F960" s="56"/>
      <c r="G960" s="57">
        <f t="shared" si="3"/>
        <v>0</v>
      </c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  <c r="AE960" s="58"/>
      <c r="AF960" s="58"/>
    </row>
    <row r="961">
      <c r="A961" s="87"/>
      <c r="B961" s="96"/>
      <c r="C961" s="86"/>
      <c r="D961" s="54">
        <f t="shared" si="1"/>
        <v>0</v>
      </c>
      <c r="E961" s="55">
        <f t="shared" si="2"/>
        <v>0</v>
      </c>
      <c r="F961" s="56"/>
      <c r="G961" s="57">
        <f t="shared" si="3"/>
        <v>0</v>
      </c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  <c r="AE961" s="58"/>
      <c r="AF961" s="58"/>
    </row>
    <row r="962">
      <c r="A962" s="87"/>
      <c r="B962" s="96"/>
      <c r="C962" s="86"/>
      <c r="D962" s="54">
        <f t="shared" si="1"/>
        <v>0</v>
      </c>
      <c r="E962" s="55">
        <f t="shared" si="2"/>
        <v>0</v>
      </c>
      <c r="F962" s="56"/>
      <c r="G962" s="57">
        <f t="shared" si="3"/>
        <v>0</v>
      </c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  <c r="AE962" s="58"/>
      <c r="AF962" s="58"/>
    </row>
    <row r="963">
      <c r="A963" s="87"/>
      <c r="B963" s="96"/>
      <c r="C963" s="86"/>
      <c r="D963" s="54">
        <f t="shared" si="1"/>
        <v>0</v>
      </c>
      <c r="E963" s="55">
        <f t="shared" si="2"/>
        <v>0</v>
      </c>
      <c r="F963" s="56"/>
      <c r="G963" s="57">
        <f t="shared" si="3"/>
        <v>0</v>
      </c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  <c r="AE963" s="58"/>
      <c r="AF963" s="58"/>
    </row>
    <row r="964">
      <c r="A964" s="87"/>
      <c r="B964" s="96"/>
      <c r="C964" s="86"/>
      <c r="D964" s="54">
        <f t="shared" si="1"/>
        <v>0</v>
      </c>
      <c r="E964" s="55">
        <f t="shared" si="2"/>
        <v>0</v>
      </c>
      <c r="F964" s="56"/>
      <c r="G964" s="57">
        <f t="shared" si="3"/>
        <v>0</v>
      </c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  <c r="AE964" s="58"/>
      <c r="AF964" s="58"/>
    </row>
    <row r="965">
      <c r="A965" s="87"/>
      <c r="B965" s="96"/>
      <c r="C965" s="86"/>
      <c r="D965" s="54">
        <f t="shared" si="1"/>
        <v>0</v>
      </c>
      <c r="E965" s="55">
        <f t="shared" si="2"/>
        <v>0</v>
      </c>
      <c r="F965" s="56"/>
      <c r="G965" s="57">
        <f t="shared" si="3"/>
        <v>0</v>
      </c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  <c r="AE965" s="58"/>
      <c r="AF965" s="58"/>
    </row>
    <row r="966">
      <c r="A966" s="87"/>
      <c r="B966" s="96"/>
      <c r="C966" s="86"/>
      <c r="D966" s="54">
        <f t="shared" si="1"/>
        <v>0</v>
      </c>
      <c r="E966" s="55">
        <f t="shared" si="2"/>
        <v>0</v>
      </c>
      <c r="F966" s="56"/>
      <c r="G966" s="57">
        <f t="shared" si="3"/>
        <v>0</v>
      </c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  <c r="AE966" s="58"/>
      <c r="AF966" s="58"/>
    </row>
    <row r="967">
      <c r="A967" s="87"/>
      <c r="B967" s="96"/>
      <c r="C967" s="86"/>
      <c r="D967" s="54">
        <f t="shared" si="1"/>
        <v>0</v>
      </c>
      <c r="E967" s="55">
        <f t="shared" si="2"/>
        <v>0</v>
      </c>
      <c r="F967" s="56"/>
      <c r="G967" s="57">
        <f t="shared" si="3"/>
        <v>0</v>
      </c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  <c r="AE967" s="58"/>
      <c r="AF967" s="58"/>
    </row>
    <row r="968">
      <c r="A968" s="87"/>
      <c r="B968" s="96"/>
      <c r="C968" s="86"/>
      <c r="D968" s="54">
        <f t="shared" si="1"/>
        <v>0</v>
      </c>
      <c r="E968" s="55">
        <f t="shared" si="2"/>
        <v>0</v>
      </c>
      <c r="F968" s="56"/>
      <c r="G968" s="57">
        <f t="shared" si="3"/>
        <v>0</v>
      </c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  <c r="AE968" s="58"/>
      <c r="AF968" s="58"/>
    </row>
    <row r="969">
      <c r="A969" s="87"/>
      <c r="B969" s="96"/>
      <c r="C969" s="86"/>
      <c r="D969" s="54">
        <f t="shared" si="1"/>
        <v>0</v>
      </c>
      <c r="E969" s="55">
        <f t="shared" si="2"/>
        <v>0</v>
      </c>
      <c r="F969" s="56"/>
      <c r="G969" s="57">
        <f t="shared" si="3"/>
        <v>0</v>
      </c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  <c r="AE969" s="58"/>
      <c r="AF969" s="58"/>
    </row>
    <row r="970">
      <c r="A970" s="87"/>
      <c r="B970" s="96"/>
      <c r="C970" s="86"/>
      <c r="D970" s="54">
        <f t="shared" si="1"/>
        <v>0</v>
      </c>
      <c r="E970" s="55">
        <f t="shared" si="2"/>
        <v>0</v>
      </c>
      <c r="F970" s="56"/>
      <c r="G970" s="57">
        <f t="shared" si="3"/>
        <v>0</v>
      </c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  <c r="AE970" s="58"/>
      <c r="AF970" s="58"/>
    </row>
    <row r="971">
      <c r="A971" s="87"/>
      <c r="B971" s="96"/>
      <c r="C971" s="86"/>
      <c r="D971" s="54">
        <f t="shared" si="1"/>
        <v>0</v>
      </c>
      <c r="E971" s="55">
        <f t="shared" si="2"/>
        <v>0</v>
      </c>
      <c r="F971" s="56"/>
      <c r="G971" s="57">
        <f t="shared" si="3"/>
        <v>0</v>
      </c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  <c r="AE971" s="58"/>
      <c r="AF971" s="58"/>
    </row>
    <row r="972">
      <c r="A972" s="87"/>
      <c r="B972" s="96"/>
      <c r="C972" s="86"/>
      <c r="D972" s="54">
        <f t="shared" si="1"/>
        <v>0</v>
      </c>
      <c r="E972" s="55">
        <f t="shared" si="2"/>
        <v>0</v>
      </c>
      <c r="F972" s="56"/>
      <c r="G972" s="57">
        <f t="shared" si="3"/>
        <v>0</v>
      </c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  <c r="AE972" s="58"/>
      <c r="AF972" s="58"/>
    </row>
    <row r="973">
      <c r="A973" s="87"/>
      <c r="B973" s="96"/>
      <c r="C973" s="86"/>
      <c r="D973" s="54">
        <f t="shared" si="1"/>
        <v>0</v>
      </c>
      <c r="E973" s="55">
        <f t="shared" si="2"/>
        <v>0</v>
      </c>
      <c r="F973" s="56"/>
      <c r="G973" s="57">
        <f t="shared" si="3"/>
        <v>0</v>
      </c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  <c r="AE973" s="58"/>
      <c r="AF973" s="58"/>
    </row>
    <row r="974">
      <c r="A974" s="87"/>
      <c r="B974" s="96"/>
      <c r="C974" s="86"/>
      <c r="D974" s="54">
        <f t="shared" si="1"/>
        <v>0</v>
      </c>
      <c r="E974" s="55">
        <f t="shared" si="2"/>
        <v>0</v>
      </c>
      <c r="F974" s="56"/>
      <c r="G974" s="57">
        <f t="shared" si="3"/>
        <v>0</v>
      </c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  <c r="AE974" s="58"/>
      <c r="AF974" s="58"/>
    </row>
    <row r="975">
      <c r="A975" s="87"/>
      <c r="B975" s="96"/>
      <c r="C975" s="86"/>
      <c r="D975" s="54">
        <f t="shared" si="1"/>
        <v>0</v>
      </c>
      <c r="E975" s="55">
        <f t="shared" si="2"/>
        <v>0</v>
      </c>
      <c r="F975" s="56"/>
      <c r="G975" s="57">
        <f t="shared" si="3"/>
        <v>0</v>
      </c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  <c r="AE975" s="58"/>
      <c r="AF975" s="58"/>
    </row>
    <row r="976">
      <c r="A976" s="87"/>
      <c r="B976" s="96"/>
      <c r="C976" s="86"/>
      <c r="D976" s="54">
        <f t="shared" si="1"/>
        <v>0</v>
      </c>
      <c r="E976" s="55">
        <f t="shared" si="2"/>
        <v>0</v>
      </c>
      <c r="F976" s="56"/>
      <c r="G976" s="57">
        <f t="shared" si="3"/>
        <v>0</v>
      </c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  <c r="AE976" s="58"/>
      <c r="AF976" s="58"/>
    </row>
    <row r="977">
      <c r="A977" s="87"/>
      <c r="B977" s="96"/>
      <c r="C977" s="86"/>
      <c r="D977" s="54">
        <f t="shared" si="1"/>
        <v>0</v>
      </c>
      <c r="E977" s="55">
        <f t="shared" si="2"/>
        <v>0</v>
      </c>
      <c r="F977" s="56"/>
      <c r="G977" s="57">
        <f t="shared" si="3"/>
        <v>0</v>
      </c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  <c r="AE977" s="58"/>
      <c r="AF977" s="58"/>
    </row>
    <row r="978">
      <c r="A978" s="87"/>
      <c r="B978" s="96"/>
      <c r="C978" s="86"/>
      <c r="D978" s="54">
        <f t="shared" si="1"/>
        <v>0</v>
      </c>
      <c r="E978" s="55">
        <f t="shared" si="2"/>
        <v>0</v>
      </c>
      <c r="F978" s="56"/>
      <c r="G978" s="57">
        <f t="shared" si="3"/>
        <v>0</v>
      </c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  <c r="AE978" s="58"/>
      <c r="AF978" s="58"/>
    </row>
    <row r="979">
      <c r="A979" s="87"/>
      <c r="B979" s="96"/>
      <c r="C979" s="86"/>
      <c r="D979" s="54">
        <f t="shared" si="1"/>
        <v>0</v>
      </c>
      <c r="E979" s="55">
        <f t="shared" si="2"/>
        <v>0</v>
      </c>
      <c r="F979" s="56"/>
      <c r="G979" s="57">
        <f t="shared" si="3"/>
        <v>0</v>
      </c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  <c r="AE979" s="58"/>
      <c r="AF979" s="58"/>
    </row>
    <row r="980">
      <c r="A980" s="87"/>
      <c r="B980" s="96"/>
      <c r="C980" s="86"/>
      <c r="D980" s="54">
        <f t="shared" si="1"/>
        <v>0</v>
      </c>
      <c r="E980" s="55">
        <f t="shared" si="2"/>
        <v>0</v>
      </c>
      <c r="F980" s="56"/>
      <c r="G980" s="57">
        <f t="shared" si="3"/>
        <v>0</v>
      </c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  <c r="AE980" s="58"/>
      <c r="AF980" s="58"/>
    </row>
    <row r="981">
      <c r="A981" s="87"/>
      <c r="B981" s="96"/>
      <c r="C981" s="86"/>
      <c r="D981" s="54">
        <f t="shared" si="1"/>
        <v>0</v>
      </c>
      <c r="E981" s="55">
        <f t="shared" si="2"/>
        <v>0</v>
      </c>
      <c r="F981" s="56"/>
      <c r="G981" s="57">
        <f t="shared" si="3"/>
        <v>0</v>
      </c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  <c r="AE981" s="58"/>
      <c r="AF981" s="58"/>
    </row>
    <row r="982">
      <c r="A982" s="87"/>
      <c r="B982" s="96"/>
      <c r="C982" s="86"/>
      <c r="D982" s="54">
        <f t="shared" si="1"/>
        <v>0</v>
      </c>
      <c r="E982" s="55">
        <f t="shared" si="2"/>
        <v>0</v>
      </c>
      <c r="F982" s="56"/>
      <c r="G982" s="57">
        <f t="shared" si="3"/>
        <v>0</v>
      </c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  <c r="AE982" s="58"/>
      <c r="AF982" s="58"/>
    </row>
    <row r="983">
      <c r="A983" s="87"/>
      <c r="B983" s="96"/>
      <c r="C983" s="86"/>
      <c r="D983" s="54">
        <f t="shared" si="1"/>
        <v>0</v>
      </c>
      <c r="E983" s="55">
        <f t="shared" si="2"/>
        <v>0</v>
      </c>
      <c r="F983" s="56"/>
      <c r="G983" s="57">
        <f t="shared" si="3"/>
        <v>0</v>
      </c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  <c r="AE983" s="58"/>
      <c r="AF983" s="58"/>
    </row>
    <row r="984">
      <c r="A984" s="87"/>
      <c r="B984" s="96"/>
      <c r="C984" s="86"/>
      <c r="D984" s="54">
        <f t="shared" si="1"/>
        <v>0</v>
      </c>
      <c r="E984" s="55">
        <f t="shared" si="2"/>
        <v>0</v>
      </c>
      <c r="F984" s="56"/>
      <c r="G984" s="57">
        <f t="shared" si="3"/>
        <v>0</v>
      </c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  <c r="AE984" s="58"/>
      <c r="AF984" s="58"/>
    </row>
    <row r="985">
      <c r="A985" s="87"/>
      <c r="B985" s="96"/>
      <c r="C985" s="86"/>
      <c r="D985" s="54">
        <f t="shared" si="1"/>
        <v>0</v>
      </c>
      <c r="E985" s="55">
        <f t="shared" si="2"/>
        <v>0</v>
      </c>
      <c r="F985" s="56"/>
      <c r="G985" s="57">
        <f t="shared" si="3"/>
        <v>0</v>
      </c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  <c r="AE985" s="58"/>
      <c r="AF985" s="58"/>
    </row>
    <row r="986">
      <c r="A986" s="87"/>
      <c r="B986" s="96"/>
      <c r="C986" s="86"/>
      <c r="D986" s="54">
        <f t="shared" si="1"/>
        <v>0</v>
      </c>
      <c r="E986" s="55">
        <f t="shared" si="2"/>
        <v>0</v>
      </c>
      <c r="F986" s="56"/>
      <c r="G986" s="57">
        <f t="shared" si="3"/>
        <v>0</v>
      </c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  <c r="AE986" s="58"/>
      <c r="AF986" s="58"/>
    </row>
    <row r="987">
      <c r="A987" s="87"/>
      <c r="B987" s="96"/>
      <c r="C987" s="86"/>
      <c r="D987" s="54">
        <f t="shared" si="1"/>
        <v>0</v>
      </c>
      <c r="E987" s="55">
        <f t="shared" si="2"/>
        <v>0</v>
      </c>
      <c r="F987" s="56"/>
      <c r="G987" s="57">
        <f t="shared" si="3"/>
        <v>0</v>
      </c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  <c r="AE987" s="58"/>
      <c r="AF987" s="58"/>
    </row>
    <row r="988">
      <c r="A988" s="87"/>
      <c r="B988" s="96"/>
      <c r="C988" s="86"/>
      <c r="D988" s="54">
        <f t="shared" si="1"/>
        <v>0</v>
      </c>
      <c r="E988" s="55">
        <f t="shared" si="2"/>
        <v>0</v>
      </c>
      <c r="F988" s="56"/>
      <c r="G988" s="57">
        <f t="shared" si="3"/>
        <v>0</v>
      </c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  <c r="AE988" s="58"/>
      <c r="AF988" s="58"/>
    </row>
    <row r="989">
      <c r="A989" s="87"/>
      <c r="B989" s="96"/>
      <c r="C989" s="86"/>
      <c r="D989" s="54">
        <f t="shared" si="1"/>
        <v>0</v>
      </c>
      <c r="E989" s="55">
        <f t="shared" si="2"/>
        <v>0</v>
      </c>
      <c r="F989" s="56"/>
      <c r="G989" s="57">
        <f t="shared" si="3"/>
        <v>0</v>
      </c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  <c r="AE989" s="58"/>
      <c r="AF989" s="58"/>
    </row>
    <row r="990">
      <c r="A990" s="87"/>
      <c r="B990" s="96"/>
      <c r="C990" s="86"/>
      <c r="D990" s="54">
        <f t="shared" si="1"/>
        <v>0</v>
      </c>
      <c r="E990" s="55">
        <f t="shared" si="2"/>
        <v>0</v>
      </c>
      <c r="F990" s="56"/>
      <c r="G990" s="57">
        <f t="shared" si="3"/>
        <v>0</v>
      </c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  <c r="AE990" s="58"/>
      <c r="AF990" s="58"/>
    </row>
    <row r="991">
      <c r="A991" s="87"/>
      <c r="B991" s="96"/>
      <c r="C991" s="86"/>
      <c r="D991" s="54">
        <f t="shared" si="1"/>
        <v>0</v>
      </c>
      <c r="E991" s="55">
        <f t="shared" si="2"/>
        <v>0</v>
      </c>
      <c r="F991" s="56"/>
      <c r="G991" s="57">
        <f t="shared" si="3"/>
        <v>0</v>
      </c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  <c r="AE991" s="58"/>
      <c r="AF991" s="58"/>
    </row>
    <row r="992">
      <c r="A992" s="87"/>
      <c r="B992" s="96"/>
      <c r="C992" s="86"/>
      <c r="D992" s="54">
        <f t="shared" si="1"/>
        <v>0</v>
      </c>
      <c r="E992" s="55">
        <f t="shared" si="2"/>
        <v>0</v>
      </c>
      <c r="F992" s="56"/>
      <c r="G992" s="57">
        <f t="shared" si="3"/>
        <v>0</v>
      </c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  <c r="AE992" s="58"/>
      <c r="AF992" s="58"/>
    </row>
    <row r="993">
      <c r="A993" s="87"/>
      <c r="B993" s="96"/>
      <c r="C993" s="86"/>
      <c r="D993" s="54">
        <f t="shared" si="1"/>
        <v>0</v>
      </c>
      <c r="E993" s="55">
        <f t="shared" si="2"/>
        <v>0</v>
      </c>
      <c r="F993" s="56"/>
      <c r="G993" s="57">
        <f t="shared" si="3"/>
        <v>0</v>
      </c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  <c r="AE993" s="58"/>
      <c r="AF993" s="58"/>
    </row>
    <row r="994">
      <c r="A994" s="87"/>
      <c r="B994" s="96"/>
      <c r="C994" s="86"/>
      <c r="D994" s="54">
        <f t="shared" si="1"/>
        <v>0</v>
      </c>
      <c r="E994" s="55">
        <f t="shared" si="2"/>
        <v>0</v>
      </c>
      <c r="F994" s="56"/>
      <c r="G994" s="57">
        <f t="shared" si="3"/>
        <v>0</v>
      </c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  <c r="AE994" s="58"/>
      <c r="AF994" s="58"/>
    </row>
    <row r="995">
      <c r="A995" s="87"/>
      <c r="B995" s="96"/>
      <c r="C995" s="86"/>
      <c r="D995" s="54">
        <f t="shared" si="1"/>
        <v>0</v>
      </c>
      <c r="E995" s="55">
        <f t="shared" si="2"/>
        <v>0</v>
      </c>
      <c r="F995" s="56"/>
      <c r="G995" s="57">
        <f t="shared" si="3"/>
        <v>0</v>
      </c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  <c r="AE995" s="58"/>
      <c r="AF995" s="58"/>
    </row>
    <row r="996">
      <c r="A996" s="87"/>
      <c r="B996" s="96"/>
      <c r="C996" s="86"/>
      <c r="D996" s="54">
        <f t="shared" si="1"/>
        <v>0</v>
      </c>
      <c r="E996" s="55">
        <f t="shared" si="2"/>
        <v>0</v>
      </c>
      <c r="F996" s="56"/>
      <c r="G996" s="57">
        <f t="shared" si="3"/>
        <v>0</v>
      </c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  <c r="AE996" s="58"/>
      <c r="AF996" s="58"/>
    </row>
    <row r="997">
      <c r="A997" s="87"/>
      <c r="B997" s="96"/>
      <c r="C997" s="86"/>
      <c r="D997" s="54">
        <f t="shared" si="1"/>
        <v>0</v>
      </c>
      <c r="E997" s="55">
        <f t="shared" si="2"/>
        <v>0</v>
      </c>
      <c r="F997" s="56"/>
      <c r="G997" s="57">
        <f t="shared" si="3"/>
        <v>0</v>
      </c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  <c r="AE997" s="58"/>
      <c r="AF997" s="58"/>
    </row>
    <row r="998">
      <c r="A998" s="87"/>
      <c r="B998" s="96"/>
      <c r="C998" s="86"/>
      <c r="D998" s="54">
        <f t="shared" si="1"/>
        <v>0</v>
      </c>
      <c r="E998" s="55">
        <f t="shared" si="2"/>
        <v>0</v>
      </c>
      <c r="F998" s="56"/>
      <c r="G998" s="57">
        <f t="shared" si="3"/>
        <v>0</v>
      </c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  <c r="AE998" s="58"/>
      <c r="AF998" s="58"/>
    </row>
    <row r="999">
      <c r="A999" s="87"/>
      <c r="B999" s="96"/>
      <c r="C999" s="86"/>
      <c r="D999" s="54">
        <f t="shared" si="1"/>
        <v>0</v>
      </c>
      <c r="E999" s="55">
        <f t="shared" si="2"/>
        <v>0</v>
      </c>
      <c r="F999" s="56"/>
      <c r="G999" s="57">
        <f t="shared" si="3"/>
        <v>0</v>
      </c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  <c r="AE999" s="58"/>
      <c r="AF999" s="58"/>
    </row>
    <row r="1000">
      <c r="A1000" s="87"/>
      <c r="B1000" s="96"/>
      <c r="C1000" s="86"/>
      <c r="D1000" s="54">
        <f t="shared" si="1"/>
        <v>0</v>
      </c>
      <c r="E1000" s="55">
        <f t="shared" si="2"/>
        <v>0</v>
      </c>
      <c r="F1000" s="56"/>
      <c r="G1000" s="57">
        <f t="shared" si="3"/>
        <v>0</v>
      </c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  <c r="AE1000" s="58"/>
      <c r="AF1000" s="58"/>
    </row>
    <row r="1001">
      <c r="A1001" s="87"/>
      <c r="B1001" s="96"/>
      <c r="C1001" s="86"/>
      <c r="D1001" s="54">
        <f t="shared" si="1"/>
        <v>0</v>
      </c>
      <c r="E1001" s="55">
        <f t="shared" si="2"/>
        <v>0</v>
      </c>
      <c r="F1001" s="56"/>
      <c r="G1001" s="57">
        <f t="shared" si="3"/>
        <v>0</v>
      </c>
      <c r="H1001" s="58"/>
      <c r="I1001" s="58"/>
      <c r="J1001" s="58"/>
      <c r="K1001" s="58"/>
      <c r="L1001" s="58"/>
      <c r="M1001" s="58"/>
      <c r="N1001" s="58"/>
      <c r="O1001" s="58"/>
      <c r="P1001" s="58"/>
      <c r="Q1001" s="58"/>
      <c r="R1001" s="58"/>
      <c r="S1001" s="58"/>
      <c r="T1001" s="58"/>
      <c r="U1001" s="58"/>
      <c r="V1001" s="58"/>
      <c r="W1001" s="58"/>
      <c r="X1001" s="58"/>
      <c r="Y1001" s="58"/>
      <c r="Z1001" s="58"/>
      <c r="AA1001" s="58"/>
      <c r="AB1001" s="58"/>
      <c r="AC1001" s="58"/>
      <c r="AD1001" s="58"/>
      <c r="AE1001" s="58"/>
      <c r="AF1001" s="58"/>
    </row>
  </sheetData>
  <conditionalFormatting sqref="D1:D1001">
    <cfRule type="colorScale" priority="1">
      <colorScale>
        <cfvo type="formula" val="-3"/>
        <cfvo type="formula" val="0"/>
        <cfvo type="formula" val="3"/>
        <color rgb="FF5B0F00"/>
        <color rgb="FFFFFFFF"/>
        <color rgb="FF00FF00"/>
      </colorScale>
    </cfRule>
  </conditionalFormatting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7" width="6.88"/>
  </cols>
  <sheetData>
    <row r="1">
      <c r="A1" s="60" t="s">
        <v>270</v>
      </c>
      <c r="B1" s="61"/>
      <c r="C1" s="62" t="str">
        <f t="shared" ref="C1:Z1" si="1">INDEX($A:$A,COLUMN(C1))</f>
        <v>Fudge Value</v>
      </c>
      <c r="D1" s="62" t="str">
        <f t="shared" si="1"/>
        <v>Acc / Def 💯</v>
      </c>
      <c r="E1" s="62" t="str">
        <f t="shared" si="1"/>
        <v>Damage</v>
      </c>
      <c r="F1" s="62" t="str">
        <f t="shared" si="1"/>
        <v>Card 💯</v>
      </c>
      <c r="G1" s="62" t="str">
        <f t="shared" si="1"/>
        <v>Health 💯</v>
      </c>
      <c r="H1" s="62" t="str">
        <f t="shared" si="1"/>
        <v>1 AP 💯</v>
      </c>
      <c r="I1" s="62" t="str">
        <f t="shared" si="1"/>
        <v>Debuff</v>
      </c>
      <c r="J1" s="62" t="str">
        <f t="shared" si="1"/>
        <v>Gold 💯</v>
      </c>
      <c r="K1" s="62" t="str">
        <f t="shared" si="1"/>
        <v>Protected 💯</v>
      </c>
      <c r="L1" s="62" t="str">
        <f t="shared" si="1"/>
        <v>Sift</v>
      </c>
      <c r="M1" s="62" t="str">
        <f t="shared" si="1"/>
        <v>Shallow HP 💯</v>
      </c>
      <c r="N1" s="62" t="str">
        <f t="shared" si="1"/>
        <v>Deep HP 💯</v>
      </c>
      <c r="O1" s="62" t="str">
        <f t="shared" si="1"/>
        <v>Shallow Heal 💯</v>
      </c>
      <c r="P1" s="62" t="str">
        <f t="shared" si="1"/>
        <v>Deep Heal 💯</v>
      </c>
      <c r="Q1" s="62" t="str">
        <f t="shared" si="1"/>
        <v>Good Luck 💯</v>
      </c>
      <c r="R1" s="62" t="str">
        <f t="shared" si="1"/>
        <v>Autoswing 💯</v>
      </c>
      <c r="S1" s="62" t="str">
        <f t="shared" si="1"/>
        <v>Push</v>
      </c>
      <c r="T1" s="62" t="str">
        <f t="shared" si="1"/>
        <v>Difficult Terrain 💯</v>
      </c>
      <c r="U1" s="62" t="str">
        <f t="shared" si="1"/>
        <v>Concession 💯</v>
      </c>
      <c r="V1" s="62" t="str">
        <f t="shared" si="1"/>
        <v/>
      </c>
      <c r="W1" s="62" t="str">
        <f t="shared" si="1"/>
        <v/>
      </c>
      <c r="X1" s="62" t="str">
        <f t="shared" si="1"/>
        <v/>
      </c>
      <c r="Y1" s="62" t="str">
        <f t="shared" si="1"/>
        <v/>
      </c>
      <c r="Z1" s="62" t="str">
        <f t="shared" si="1"/>
        <v/>
      </c>
      <c r="AA1" s="62"/>
    </row>
    <row r="2">
      <c r="A2" s="63"/>
      <c r="B2" s="64" t="s">
        <v>281</v>
      </c>
      <c r="C2" s="65">
        <f t="shared" ref="C2:Z2" si="2">INDEX($B:$B,COLUMN(C2))</f>
        <v>1</v>
      </c>
      <c r="D2" s="65">
        <f t="shared" si="2"/>
        <v>1</v>
      </c>
      <c r="E2" s="65">
        <f t="shared" si="2"/>
        <v>2</v>
      </c>
      <c r="F2" s="65">
        <f t="shared" si="2"/>
        <v>3.051282051</v>
      </c>
      <c r="G2" s="65">
        <f t="shared" si="2"/>
        <v>4</v>
      </c>
      <c r="H2" s="65">
        <f t="shared" si="2"/>
        <v>3</v>
      </c>
      <c r="I2" s="65">
        <f t="shared" si="2"/>
        <v>1</v>
      </c>
      <c r="J2" s="65">
        <f t="shared" si="2"/>
        <v>1.5</v>
      </c>
      <c r="K2" s="65">
        <f t="shared" si="2"/>
        <v>3</v>
      </c>
      <c r="L2" s="65">
        <f t="shared" si="2"/>
        <v>0.64</v>
      </c>
      <c r="M2" s="65">
        <f t="shared" si="2"/>
        <v>5</v>
      </c>
      <c r="N2" s="65">
        <f t="shared" si="2"/>
        <v>4</v>
      </c>
      <c r="O2" s="65">
        <f t="shared" si="2"/>
        <v>4</v>
      </c>
      <c r="P2" s="65">
        <f t="shared" si="2"/>
        <v>5</v>
      </c>
      <c r="Q2" s="65">
        <f t="shared" si="2"/>
        <v>2.5</v>
      </c>
      <c r="R2" s="65">
        <f t="shared" si="2"/>
        <v>5.5</v>
      </c>
      <c r="S2" s="65">
        <f t="shared" si="2"/>
        <v>0.5</v>
      </c>
      <c r="T2" s="65">
        <f t="shared" si="2"/>
        <v>1</v>
      </c>
      <c r="U2" s="65">
        <f t="shared" si="2"/>
        <v>2.5</v>
      </c>
      <c r="V2" s="65" t="str">
        <f t="shared" si="2"/>
        <v/>
      </c>
      <c r="W2" s="65" t="str">
        <f t="shared" si="2"/>
        <v/>
      </c>
      <c r="X2" s="65" t="str">
        <f t="shared" si="2"/>
        <v/>
      </c>
      <c r="Y2" s="65" t="str">
        <f t="shared" si="2"/>
        <v/>
      </c>
      <c r="Z2" s="65" t="str">
        <f t="shared" si="2"/>
        <v/>
      </c>
      <c r="AA2" s="65"/>
    </row>
    <row r="3">
      <c r="A3" s="66" t="s">
        <v>289</v>
      </c>
      <c r="B3" s="67">
        <v>1.0</v>
      </c>
      <c r="C3" s="68">
        <f t="shared" ref="C3:AA3" si="3">IF(ISBLANK($B3),"",IFERROR($B3/C$2,""))</f>
        <v>1</v>
      </c>
      <c r="D3" s="68">
        <f t="shared" si="3"/>
        <v>1</v>
      </c>
      <c r="E3" s="68">
        <f t="shared" si="3"/>
        <v>0.5</v>
      </c>
      <c r="F3" s="68">
        <f t="shared" si="3"/>
        <v>0.3277310924</v>
      </c>
      <c r="G3" s="68">
        <f t="shared" si="3"/>
        <v>0.25</v>
      </c>
      <c r="H3" s="68">
        <f t="shared" si="3"/>
        <v>0.3333333333</v>
      </c>
      <c r="I3" s="68">
        <f t="shared" si="3"/>
        <v>1</v>
      </c>
      <c r="J3" s="68">
        <f t="shared" si="3"/>
        <v>0.6666666667</v>
      </c>
      <c r="K3" s="68">
        <f t="shared" si="3"/>
        <v>0.3333333333</v>
      </c>
      <c r="L3" s="68">
        <f t="shared" si="3"/>
        <v>1.5625</v>
      </c>
      <c r="M3" s="68">
        <f t="shared" si="3"/>
        <v>0.2</v>
      </c>
      <c r="N3" s="68">
        <f t="shared" si="3"/>
        <v>0.25</v>
      </c>
      <c r="O3" s="68">
        <f t="shared" si="3"/>
        <v>0.25</v>
      </c>
      <c r="P3" s="68">
        <f t="shared" si="3"/>
        <v>0.2</v>
      </c>
      <c r="Q3" s="68">
        <f t="shared" si="3"/>
        <v>0.4</v>
      </c>
      <c r="R3" s="68">
        <f t="shared" si="3"/>
        <v>0.1818181818</v>
      </c>
      <c r="S3" s="68">
        <f t="shared" si="3"/>
        <v>2</v>
      </c>
      <c r="T3" s="68">
        <f t="shared" si="3"/>
        <v>1</v>
      </c>
      <c r="U3" s="68">
        <f t="shared" si="3"/>
        <v>0.4</v>
      </c>
      <c r="V3" s="68" t="str">
        <f t="shared" si="3"/>
        <v/>
      </c>
      <c r="W3" s="68" t="str">
        <f t="shared" si="3"/>
        <v/>
      </c>
      <c r="X3" s="68" t="str">
        <f t="shared" si="3"/>
        <v/>
      </c>
      <c r="Y3" s="68" t="str">
        <f t="shared" si="3"/>
        <v/>
      </c>
      <c r="Z3" s="68" t="str">
        <f t="shared" si="3"/>
        <v/>
      </c>
      <c r="AA3" s="68" t="str">
        <f t="shared" si="3"/>
        <v/>
      </c>
    </row>
    <row r="4">
      <c r="A4" s="66" t="s">
        <v>298</v>
      </c>
      <c r="B4" s="67">
        <v>1.0</v>
      </c>
      <c r="C4" s="68">
        <f t="shared" ref="C4:AA4" si="4">IF(ISBLANK($B4),"",IFERROR($B4/C$2,""))</f>
        <v>1</v>
      </c>
      <c r="D4" s="68">
        <f t="shared" si="4"/>
        <v>1</v>
      </c>
      <c r="E4" s="68">
        <f t="shared" si="4"/>
        <v>0.5</v>
      </c>
      <c r="F4" s="68">
        <f t="shared" si="4"/>
        <v>0.3277310924</v>
      </c>
      <c r="G4" s="68">
        <f t="shared" si="4"/>
        <v>0.25</v>
      </c>
      <c r="H4" s="68">
        <f t="shared" si="4"/>
        <v>0.3333333333</v>
      </c>
      <c r="I4" s="68">
        <f t="shared" si="4"/>
        <v>1</v>
      </c>
      <c r="J4" s="68">
        <f t="shared" si="4"/>
        <v>0.6666666667</v>
      </c>
      <c r="K4" s="68">
        <f t="shared" si="4"/>
        <v>0.3333333333</v>
      </c>
      <c r="L4" s="68">
        <f t="shared" si="4"/>
        <v>1.5625</v>
      </c>
      <c r="M4" s="68">
        <f t="shared" si="4"/>
        <v>0.2</v>
      </c>
      <c r="N4" s="68">
        <f t="shared" si="4"/>
        <v>0.25</v>
      </c>
      <c r="O4" s="68">
        <f t="shared" si="4"/>
        <v>0.25</v>
      </c>
      <c r="P4" s="68">
        <f t="shared" si="4"/>
        <v>0.2</v>
      </c>
      <c r="Q4" s="68">
        <f t="shared" si="4"/>
        <v>0.4</v>
      </c>
      <c r="R4" s="68">
        <f t="shared" si="4"/>
        <v>0.1818181818</v>
      </c>
      <c r="S4" s="68">
        <f t="shared" si="4"/>
        <v>2</v>
      </c>
      <c r="T4" s="68">
        <f t="shared" si="4"/>
        <v>1</v>
      </c>
      <c r="U4" s="68">
        <f t="shared" si="4"/>
        <v>0.4</v>
      </c>
      <c r="V4" s="68" t="str">
        <f t="shared" si="4"/>
        <v/>
      </c>
      <c r="W4" s="68" t="str">
        <f t="shared" si="4"/>
        <v/>
      </c>
      <c r="X4" s="68" t="str">
        <f t="shared" si="4"/>
        <v/>
      </c>
      <c r="Y4" s="68" t="str">
        <f t="shared" si="4"/>
        <v/>
      </c>
      <c r="Z4" s="68" t="str">
        <f t="shared" si="4"/>
        <v/>
      </c>
      <c r="AA4" s="68" t="str">
        <f t="shared" si="4"/>
        <v/>
      </c>
    </row>
    <row r="5">
      <c r="A5" s="66" t="s">
        <v>300</v>
      </c>
      <c r="B5" s="67">
        <v>2.0</v>
      </c>
      <c r="C5" s="68">
        <f t="shared" ref="C5:AA5" si="5">IF(ISBLANK($B5),"",IFERROR($B5/C$2,""))</f>
        <v>2</v>
      </c>
      <c r="D5" s="68">
        <f t="shared" si="5"/>
        <v>2</v>
      </c>
      <c r="E5" s="68">
        <f t="shared" si="5"/>
        <v>1</v>
      </c>
      <c r="F5" s="68">
        <f t="shared" si="5"/>
        <v>0.6554621849</v>
      </c>
      <c r="G5" s="68">
        <f t="shared" si="5"/>
        <v>0.5</v>
      </c>
      <c r="H5" s="68">
        <f t="shared" si="5"/>
        <v>0.6666666667</v>
      </c>
      <c r="I5" s="68">
        <f t="shared" si="5"/>
        <v>2</v>
      </c>
      <c r="J5" s="68">
        <f t="shared" si="5"/>
        <v>1.333333333</v>
      </c>
      <c r="K5" s="68">
        <f t="shared" si="5"/>
        <v>0.6666666667</v>
      </c>
      <c r="L5" s="68">
        <f t="shared" si="5"/>
        <v>3.125</v>
      </c>
      <c r="M5" s="68">
        <f t="shared" si="5"/>
        <v>0.4</v>
      </c>
      <c r="N5" s="68">
        <f t="shared" si="5"/>
        <v>0.5</v>
      </c>
      <c r="O5" s="68">
        <f t="shared" si="5"/>
        <v>0.5</v>
      </c>
      <c r="P5" s="68">
        <f t="shared" si="5"/>
        <v>0.4</v>
      </c>
      <c r="Q5" s="68">
        <f t="shared" si="5"/>
        <v>0.8</v>
      </c>
      <c r="R5" s="68">
        <f t="shared" si="5"/>
        <v>0.3636363636</v>
      </c>
      <c r="S5" s="68">
        <f t="shared" si="5"/>
        <v>4</v>
      </c>
      <c r="T5" s="68">
        <f t="shared" si="5"/>
        <v>2</v>
      </c>
      <c r="U5" s="68">
        <f t="shared" si="5"/>
        <v>0.8</v>
      </c>
      <c r="V5" s="68" t="str">
        <f t="shared" si="5"/>
        <v/>
      </c>
      <c r="W5" s="68" t="str">
        <f t="shared" si="5"/>
        <v/>
      </c>
      <c r="X5" s="68" t="str">
        <f t="shared" si="5"/>
        <v/>
      </c>
      <c r="Y5" s="68" t="str">
        <f t="shared" si="5"/>
        <v/>
      </c>
      <c r="Z5" s="68" t="str">
        <f t="shared" si="5"/>
        <v/>
      </c>
      <c r="AA5" s="68" t="str">
        <f t="shared" si="5"/>
        <v/>
      </c>
    </row>
    <row r="6">
      <c r="A6" s="66" t="s">
        <v>306</v>
      </c>
      <c r="B6" s="69">
        <v>3.051282051282051</v>
      </c>
      <c r="C6" s="68">
        <f t="shared" ref="C6:AA6" si="6">IF(ISBLANK($B6),"",IFERROR($B6/C$2,""))</f>
        <v>3.051282051</v>
      </c>
      <c r="D6" s="68">
        <f t="shared" si="6"/>
        <v>3.051282051</v>
      </c>
      <c r="E6" s="68">
        <f t="shared" si="6"/>
        <v>1.525641026</v>
      </c>
      <c r="F6" s="68">
        <f t="shared" si="6"/>
        <v>1</v>
      </c>
      <c r="G6" s="68">
        <f t="shared" si="6"/>
        <v>0.7628205128</v>
      </c>
      <c r="H6" s="68">
        <f t="shared" si="6"/>
        <v>1.017094017</v>
      </c>
      <c r="I6" s="68">
        <f t="shared" si="6"/>
        <v>3.051282051</v>
      </c>
      <c r="J6" s="68">
        <f t="shared" si="6"/>
        <v>2.034188034</v>
      </c>
      <c r="K6" s="68">
        <f t="shared" si="6"/>
        <v>1.017094017</v>
      </c>
      <c r="L6" s="68">
        <f t="shared" si="6"/>
        <v>4.767628205</v>
      </c>
      <c r="M6" s="68">
        <f t="shared" si="6"/>
        <v>0.6102564103</v>
      </c>
      <c r="N6" s="68">
        <f t="shared" si="6"/>
        <v>0.7628205128</v>
      </c>
      <c r="O6" s="68">
        <f t="shared" si="6"/>
        <v>0.7628205128</v>
      </c>
      <c r="P6" s="68">
        <f t="shared" si="6"/>
        <v>0.6102564103</v>
      </c>
      <c r="Q6" s="68">
        <f t="shared" si="6"/>
        <v>1.220512821</v>
      </c>
      <c r="R6" s="68">
        <f t="shared" si="6"/>
        <v>0.5547785548</v>
      </c>
      <c r="S6" s="68">
        <f t="shared" si="6"/>
        <v>6.102564103</v>
      </c>
      <c r="T6" s="68">
        <f t="shared" si="6"/>
        <v>3.051282051</v>
      </c>
      <c r="U6" s="68">
        <f t="shared" si="6"/>
        <v>1.220512821</v>
      </c>
      <c r="V6" s="68" t="str">
        <f t="shared" si="6"/>
        <v/>
      </c>
      <c r="W6" s="68" t="str">
        <f t="shared" si="6"/>
        <v/>
      </c>
      <c r="X6" s="68" t="str">
        <f t="shared" si="6"/>
        <v/>
      </c>
      <c r="Y6" s="68" t="str">
        <f t="shared" si="6"/>
        <v/>
      </c>
      <c r="Z6" s="68" t="str">
        <f t="shared" si="6"/>
        <v/>
      </c>
      <c r="AA6" s="68" t="str">
        <f t="shared" si="6"/>
        <v/>
      </c>
    </row>
    <row r="7">
      <c r="A7" s="66" t="s">
        <v>323</v>
      </c>
      <c r="B7" s="67">
        <v>4.0</v>
      </c>
      <c r="C7" s="68">
        <f t="shared" ref="C7:AA7" si="7">IF(ISBLANK($B7),"",IFERROR($B7/C$2,""))</f>
        <v>4</v>
      </c>
      <c r="D7" s="68">
        <f t="shared" si="7"/>
        <v>4</v>
      </c>
      <c r="E7" s="68">
        <f t="shared" si="7"/>
        <v>2</v>
      </c>
      <c r="F7" s="68">
        <f t="shared" si="7"/>
        <v>1.31092437</v>
      </c>
      <c r="G7" s="68">
        <f t="shared" si="7"/>
        <v>1</v>
      </c>
      <c r="H7" s="68">
        <f t="shared" si="7"/>
        <v>1.333333333</v>
      </c>
      <c r="I7" s="68">
        <f t="shared" si="7"/>
        <v>4</v>
      </c>
      <c r="J7" s="68">
        <f t="shared" si="7"/>
        <v>2.666666667</v>
      </c>
      <c r="K7" s="68">
        <f t="shared" si="7"/>
        <v>1.333333333</v>
      </c>
      <c r="L7" s="68">
        <f t="shared" si="7"/>
        <v>6.25</v>
      </c>
      <c r="M7" s="68">
        <f t="shared" si="7"/>
        <v>0.8</v>
      </c>
      <c r="N7" s="68">
        <f t="shared" si="7"/>
        <v>1</v>
      </c>
      <c r="O7" s="68">
        <f t="shared" si="7"/>
        <v>1</v>
      </c>
      <c r="P7" s="68">
        <f t="shared" si="7"/>
        <v>0.8</v>
      </c>
      <c r="Q7" s="68">
        <f t="shared" si="7"/>
        <v>1.6</v>
      </c>
      <c r="R7" s="68">
        <f t="shared" si="7"/>
        <v>0.7272727273</v>
      </c>
      <c r="S7" s="68">
        <f t="shared" si="7"/>
        <v>8</v>
      </c>
      <c r="T7" s="68">
        <f t="shared" si="7"/>
        <v>4</v>
      </c>
      <c r="U7" s="68">
        <f t="shared" si="7"/>
        <v>1.6</v>
      </c>
      <c r="V7" s="68" t="str">
        <f t="shared" si="7"/>
        <v/>
      </c>
      <c r="W7" s="68" t="str">
        <f t="shared" si="7"/>
        <v/>
      </c>
      <c r="X7" s="68" t="str">
        <f t="shared" si="7"/>
        <v/>
      </c>
      <c r="Y7" s="68" t="str">
        <f t="shared" si="7"/>
        <v/>
      </c>
      <c r="Z7" s="68" t="str">
        <f t="shared" si="7"/>
        <v/>
      </c>
      <c r="AA7" s="68" t="str">
        <f t="shared" si="7"/>
        <v/>
      </c>
    </row>
    <row r="8">
      <c r="A8" s="66" t="s">
        <v>333</v>
      </c>
      <c r="B8" s="67">
        <v>3.0</v>
      </c>
      <c r="C8" s="68">
        <f t="shared" ref="C8:AA8" si="8">IF(ISBLANK($B8),"",IFERROR($B8/C$2,""))</f>
        <v>3</v>
      </c>
      <c r="D8" s="68">
        <f t="shared" si="8"/>
        <v>3</v>
      </c>
      <c r="E8" s="68">
        <f t="shared" si="8"/>
        <v>1.5</v>
      </c>
      <c r="F8" s="68">
        <f t="shared" si="8"/>
        <v>0.9831932773</v>
      </c>
      <c r="G8" s="68">
        <f t="shared" si="8"/>
        <v>0.75</v>
      </c>
      <c r="H8" s="68">
        <f t="shared" si="8"/>
        <v>1</v>
      </c>
      <c r="I8" s="68">
        <f t="shared" si="8"/>
        <v>3</v>
      </c>
      <c r="J8" s="68">
        <f t="shared" si="8"/>
        <v>2</v>
      </c>
      <c r="K8" s="68">
        <f t="shared" si="8"/>
        <v>1</v>
      </c>
      <c r="L8" s="68">
        <f t="shared" si="8"/>
        <v>4.6875</v>
      </c>
      <c r="M8" s="68">
        <f t="shared" si="8"/>
        <v>0.6</v>
      </c>
      <c r="N8" s="68">
        <f t="shared" si="8"/>
        <v>0.75</v>
      </c>
      <c r="O8" s="68">
        <f t="shared" si="8"/>
        <v>0.75</v>
      </c>
      <c r="P8" s="68">
        <f t="shared" si="8"/>
        <v>0.6</v>
      </c>
      <c r="Q8" s="68">
        <f t="shared" si="8"/>
        <v>1.2</v>
      </c>
      <c r="R8" s="68">
        <f t="shared" si="8"/>
        <v>0.5454545455</v>
      </c>
      <c r="S8" s="68">
        <f t="shared" si="8"/>
        <v>6</v>
      </c>
      <c r="T8" s="68">
        <f t="shared" si="8"/>
        <v>3</v>
      </c>
      <c r="U8" s="68">
        <f t="shared" si="8"/>
        <v>1.2</v>
      </c>
      <c r="V8" s="68" t="str">
        <f t="shared" si="8"/>
        <v/>
      </c>
      <c r="W8" s="68" t="str">
        <f t="shared" si="8"/>
        <v/>
      </c>
      <c r="X8" s="68" t="str">
        <f t="shared" si="8"/>
        <v/>
      </c>
      <c r="Y8" s="68" t="str">
        <f t="shared" si="8"/>
        <v/>
      </c>
      <c r="Z8" s="68" t="str">
        <f t="shared" si="8"/>
        <v/>
      </c>
      <c r="AA8" s="68" t="str">
        <f t="shared" si="8"/>
        <v/>
      </c>
    </row>
    <row r="9">
      <c r="A9" s="66" t="s">
        <v>348</v>
      </c>
      <c r="B9" s="67">
        <v>1.0</v>
      </c>
      <c r="C9" s="68">
        <f t="shared" ref="C9:AA9" si="9">IF(ISBLANK($B9),"",IFERROR($B9/C$2,""))</f>
        <v>1</v>
      </c>
      <c r="D9" s="68">
        <f t="shared" si="9"/>
        <v>1</v>
      </c>
      <c r="E9" s="68">
        <f t="shared" si="9"/>
        <v>0.5</v>
      </c>
      <c r="F9" s="68">
        <f t="shared" si="9"/>
        <v>0.3277310924</v>
      </c>
      <c r="G9" s="68">
        <f t="shared" si="9"/>
        <v>0.25</v>
      </c>
      <c r="H9" s="68">
        <f t="shared" si="9"/>
        <v>0.3333333333</v>
      </c>
      <c r="I9" s="68">
        <f t="shared" si="9"/>
        <v>1</v>
      </c>
      <c r="J9" s="68">
        <f t="shared" si="9"/>
        <v>0.6666666667</v>
      </c>
      <c r="K9" s="68">
        <f t="shared" si="9"/>
        <v>0.3333333333</v>
      </c>
      <c r="L9" s="68">
        <f t="shared" si="9"/>
        <v>1.5625</v>
      </c>
      <c r="M9" s="68">
        <f t="shared" si="9"/>
        <v>0.2</v>
      </c>
      <c r="N9" s="68">
        <f t="shared" si="9"/>
        <v>0.25</v>
      </c>
      <c r="O9" s="68">
        <f t="shared" si="9"/>
        <v>0.25</v>
      </c>
      <c r="P9" s="68">
        <f t="shared" si="9"/>
        <v>0.2</v>
      </c>
      <c r="Q9" s="68">
        <f t="shared" si="9"/>
        <v>0.4</v>
      </c>
      <c r="R9" s="68">
        <f t="shared" si="9"/>
        <v>0.1818181818</v>
      </c>
      <c r="S9" s="68">
        <f t="shared" si="9"/>
        <v>2</v>
      </c>
      <c r="T9" s="68">
        <f t="shared" si="9"/>
        <v>1</v>
      </c>
      <c r="U9" s="68">
        <f t="shared" si="9"/>
        <v>0.4</v>
      </c>
      <c r="V9" s="68" t="str">
        <f t="shared" si="9"/>
        <v/>
      </c>
      <c r="W9" s="68" t="str">
        <f t="shared" si="9"/>
        <v/>
      </c>
      <c r="X9" s="68" t="str">
        <f t="shared" si="9"/>
        <v/>
      </c>
      <c r="Y9" s="68" t="str">
        <f t="shared" si="9"/>
        <v/>
      </c>
      <c r="Z9" s="68" t="str">
        <f t="shared" si="9"/>
        <v/>
      </c>
      <c r="AA9" s="68" t="str">
        <f t="shared" si="9"/>
        <v/>
      </c>
    </row>
    <row r="10">
      <c r="A10" s="66" t="s">
        <v>364</v>
      </c>
      <c r="B10" s="67">
        <v>1.5</v>
      </c>
      <c r="C10" s="68">
        <f t="shared" ref="C10:AA10" si="10">IF(ISBLANK($B10),"",IFERROR($B10/C$2,""))</f>
        <v>1.5</v>
      </c>
      <c r="D10" s="68">
        <f t="shared" si="10"/>
        <v>1.5</v>
      </c>
      <c r="E10" s="68">
        <f t="shared" si="10"/>
        <v>0.75</v>
      </c>
      <c r="F10" s="68">
        <f t="shared" si="10"/>
        <v>0.4915966387</v>
      </c>
      <c r="G10" s="68">
        <f t="shared" si="10"/>
        <v>0.375</v>
      </c>
      <c r="H10" s="68">
        <f t="shared" si="10"/>
        <v>0.5</v>
      </c>
      <c r="I10" s="68">
        <f t="shared" si="10"/>
        <v>1.5</v>
      </c>
      <c r="J10" s="68">
        <f t="shared" si="10"/>
        <v>1</v>
      </c>
      <c r="K10" s="68">
        <f t="shared" si="10"/>
        <v>0.5</v>
      </c>
      <c r="L10" s="68">
        <f t="shared" si="10"/>
        <v>2.34375</v>
      </c>
      <c r="M10" s="68">
        <f t="shared" si="10"/>
        <v>0.3</v>
      </c>
      <c r="N10" s="68">
        <f t="shared" si="10"/>
        <v>0.375</v>
      </c>
      <c r="O10" s="68">
        <f t="shared" si="10"/>
        <v>0.375</v>
      </c>
      <c r="P10" s="68">
        <f t="shared" si="10"/>
        <v>0.3</v>
      </c>
      <c r="Q10" s="68">
        <f t="shared" si="10"/>
        <v>0.6</v>
      </c>
      <c r="R10" s="68">
        <f t="shared" si="10"/>
        <v>0.2727272727</v>
      </c>
      <c r="S10" s="68">
        <f t="shared" si="10"/>
        <v>3</v>
      </c>
      <c r="T10" s="68">
        <f t="shared" si="10"/>
        <v>1.5</v>
      </c>
      <c r="U10" s="68">
        <f t="shared" si="10"/>
        <v>0.6</v>
      </c>
      <c r="V10" s="68" t="str">
        <f t="shared" si="10"/>
        <v/>
      </c>
      <c r="W10" s="68" t="str">
        <f t="shared" si="10"/>
        <v/>
      </c>
      <c r="X10" s="68" t="str">
        <f t="shared" si="10"/>
        <v/>
      </c>
      <c r="Y10" s="68" t="str">
        <f t="shared" si="10"/>
        <v/>
      </c>
      <c r="Z10" s="68" t="str">
        <f t="shared" si="10"/>
        <v/>
      </c>
      <c r="AA10" s="68" t="str">
        <f t="shared" si="10"/>
        <v/>
      </c>
    </row>
    <row r="11">
      <c r="A11" s="66" t="s">
        <v>373</v>
      </c>
      <c r="B11" s="67">
        <f>4 * 75%</f>
        <v>3</v>
      </c>
      <c r="C11" s="68">
        <f t="shared" ref="C11:AA11" si="11">IF(ISBLANK($B11),"",IFERROR($B11/C$2,""))</f>
        <v>3</v>
      </c>
      <c r="D11" s="68">
        <f t="shared" si="11"/>
        <v>3</v>
      </c>
      <c r="E11" s="68">
        <f t="shared" si="11"/>
        <v>1.5</v>
      </c>
      <c r="F11" s="68">
        <f t="shared" si="11"/>
        <v>0.9831932773</v>
      </c>
      <c r="G11" s="68">
        <f t="shared" si="11"/>
        <v>0.75</v>
      </c>
      <c r="H11" s="68">
        <f t="shared" si="11"/>
        <v>1</v>
      </c>
      <c r="I11" s="68">
        <f t="shared" si="11"/>
        <v>3</v>
      </c>
      <c r="J11" s="68">
        <f t="shared" si="11"/>
        <v>2</v>
      </c>
      <c r="K11" s="68">
        <f t="shared" si="11"/>
        <v>1</v>
      </c>
      <c r="L11" s="68">
        <f t="shared" si="11"/>
        <v>4.6875</v>
      </c>
      <c r="M11" s="68">
        <f t="shared" si="11"/>
        <v>0.6</v>
      </c>
      <c r="N11" s="68">
        <f t="shared" si="11"/>
        <v>0.75</v>
      </c>
      <c r="O11" s="68">
        <f t="shared" si="11"/>
        <v>0.75</v>
      </c>
      <c r="P11" s="68">
        <f t="shared" si="11"/>
        <v>0.6</v>
      </c>
      <c r="Q11" s="68">
        <f t="shared" si="11"/>
        <v>1.2</v>
      </c>
      <c r="R11" s="68">
        <f t="shared" si="11"/>
        <v>0.5454545455</v>
      </c>
      <c r="S11" s="68">
        <f t="shared" si="11"/>
        <v>6</v>
      </c>
      <c r="T11" s="68">
        <f t="shared" si="11"/>
        <v>3</v>
      </c>
      <c r="U11" s="68">
        <f t="shared" si="11"/>
        <v>1.2</v>
      </c>
      <c r="V11" s="68" t="str">
        <f t="shared" si="11"/>
        <v/>
      </c>
      <c r="W11" s="68" t="str">
        <f t="shared" si="11"/>
        <v/>
      </c>
      <c r="X11" s="68" t="str">
        <f t="shared" si="11"/>
        <v/>
      </c>
      <c r="Y11" s="68" t="str">
        <f t="shared" si="11"/>
        <v/>
      </c>
      <c r="Z11" s="68" t="str">
        <f t="shared" si="11"/>
        <v/>
      </c>
      <c r="AA11" s="68" t="str">
        <f t="shared" si="11"/>
        <v/>
      </c>
    </row>
    <row r="12">
      <c r="A12" s="66" t="s">
        <v>387</v>
      </c>
      <c r="B12" s="67">
        <v>0.64</v>
      </c>
      <c r="C12" s="68">
        <f t="shared" ref="C12:AA12" si="12">IF(ISBLANK($B12),"",IFERROR($B12/C$2,""))</f>
        <v>0.64</v>
      </c>
      <c r="D12" s="68">
        <f t="shared" si="12"/>
        <v>0.64</v>
      </c>
      <c r="E12" s="68">
        <f t="shared" si="12"/>
        <v>0.32</v>
      </c>
      <c r="F12" s="68">
        <f t="shared" si="12"/>
        <v>0.2097478992</v>
      </c>
      <c r="G12" s="68">
        <f t="shared" si="12"/>
        <v>0.16</v>
      </c>
      <c r="H12" s="68">
        <f t="shared" si="12"/>
        <v>0.2133333333</v>
      </c>
      <c r="I12" s="68">
        <f t="shared" si="12"/>
        <v>0.64</v>
      </c>
      <c r="J12" s="68">
        <f t="shared" si="12"/>
        <v>0.4266666667</v>
      </c>
      <c r="K12" s="68">
        <f t="shared" si="12"/>
        <v>0.2133333333</v>
      </c>
      <c r="L12" s="68">
        <f t="shared" si="12"/>
        <v>1</v>
      </c>
      <c r="M12" s="68">
        <f t="shared" si="12"/>
        <v>0.128</v>
      </c>
      <c r="N12" s="68">
        <f t="shared" si="12"/>
        <v>0.16</v>
      </c>
      <c r="O12" s="68">
        <f t="shared" si="12"/>
        <v>0.16</v>
      </c>
      <c r="P12" s="68">
        <f t="shared" si="12"/>
        <v>0.128</v>
      </c>
      <c r="Q12" s="68">
        <f t="shared" si="12"/>
        <v>0.256</v>
      </c>
      <c r="R12" s="68">
        <f t="shared" si="12"/>
        <v>0.1163636364</v>
      </c>
      <c r="S12" s="68">
        <f t="shared" si="12"/>
        <v>1.28</v>
      </c>
      <c r="T12" s="68">
        <f t="shared" si="12"/>
        <v>0.64</v>
      </c>
      <c r="U12" s="68">
        <f t="shared" si="12"/>
        <v>0.256</v>
      </c>
      <c r="V12" s="68" t="str">
        <f t="shared" si="12"/>
        <v/>
      </c>
      <c r="W12" s="68" t="str">
        <f t="shared" si="12"/>
        <v/>
      </c>
      <c r="X12" s="68" t="str">
        <f t="shared" si="12"/>
        <v/>
      </c>
      <c r="Y12" s="68" t="str">
        <f t="shared" si="12"/>
        <v/>
      </c>
      <c r="Z12" s="68" t="str">
        <f t="shared" si="12"/>
        <v/>
      </c>
      <c r="AA12" s="68" t="str">
        <f t="shared" si="12"/>
        <v/>
      </c>
    </row>
    <row r="13">
      <c r="A13" s="66" t="s">
        <v>391</v>
      </c>
      <c r="B13" s="69">
        <f>5 / 4 * 4</f>
        <v>5</v>
      </c>
      <c r="C13" s="68">
        <f t="shared" ref="C13:AA13" si="13">IF(ISBLANK($B13),"",IFERROR($B13/C$2,""))</f>
        <v>5</v>
      </c>
      <c r="D13" s="68">
        <f t="shared" si="13"/>
        <v>5</v>
      </c>
      <c r="E13" s="68">
        <f t="shared" si="13"/>
        <v>2.5</v>
      </c>
      <c r="F13" s="68">
        <f t="shared" si="13"/>
        <v>1.638655462</v>
      </c>
      <c r="G13" s="68">
        <f t="shared" si="13"/>
        <v>1.25</v>
      </c>
      <c r="H13" s="68">
        <f t="shared" si="13"/>
        <v>1.666666667</v>
      </c>
      <c r="I13" s="68">
        <f t="shared" si="13"/>
        <v>5</v>
      </c>
      <c r="J13" s="68">
        <f t="shared" si="13"/>
        <v>3.333333333</v>
      </c>
      <c r="K13" s="68">
        <f t="shared" si="13"/>
        <v>1.666666667</v>
      </c>
      <c r="L13" s="68">
        <f t="shared" si="13"/>
        <v>7.8125</v>
      </c>
      <c r="M13" s="68">
        <f t="shared" si="13"/>
        <v>1</v>
      </c>
      <c r="N13" s="68">
        <f t="shared" si="13"/>
        <v>1.25</v>
      </c>
      <c r="O13" s="68">
        <f t="shared" si="13"/>
        <v>1.25</v>
      </c>
      <c r="P13" s="68">
        <f t="shared" si="13"/>
        <v>1</v>
      </c>
      <c r="Q13" s="68">
        <f t="shared" si="13"/>
        <v>2</v>
      </c>
      <c r="R13" s="68">
        <f t="shared" si="13"/>
        <v>0.9090909091</v>
      </c>
      <c r="S13" s="68">
        <f t="shared" si="13"/>
        <v>10</v>
      </c>
      <c r="T13" s="68">
        <f t="shared" si="13"/>
        <v>5</v>
      </c>
      <c r="U13" s="68">
        <f t="shared" si="13"/>
        <v>2</v>
      </c>
      <c r="V13" s="68" t="str">
        <f t="shared" si="13"/>
        <v/>
      </c>
      <c r="W13" s="68" t="str">
        <f t="shared" si="13"/>
        <v/>
      </c>
      <c r="X13" s="68" t="str">
        <f t="shared" si="13"/>
        <v/>
      </c>
      <c r="Y13" s="68" t="str">
        <f t="shared" si="13"/>
        <v/>
      </c>
      <c r="Z13" s="68" t="str">
        <f t="shared" si="13"/>
        <v/>
      </c>
      <c r="AA13" s="68" t="str">
        <f t="shared" si="13"/>
        <v/>
      </c>
    </row>
    <row r="14">
      <c r="A14" s="66" t="s">
        <v>397</v>
      </c>
      <c r="B14" s="67">
        <v>4.0</v>
      </c>
      <c r="C14" s="68">
        <f t="shared" ref="C14:AA14" si="14">IF(ISBLANK($B14),"",IFERROR($B14/C$2,""))</f>
        <v>4</v>
      </c>
      <c r="D14" s="68">
        <f t="shared" si="14"/>
        <v>4</v>
      </c>
      <c r="E14" s="68">
        <f t="shared" si="14"/>
        <v>2</v>
      </c>
      <c r="F14" s="68">
        <f t="shared" si="14"/>
        <v>1.31092437</v>
      </c>
      <c r="G14" s="68">
        <f t="shared" si="14"/>
        <v>1</v>
      </c>
      <c r="H14" s="68">
        <f t="shared" si="14"/>
        <v>1.333333333</v>
      </c>
      <c r="I14" s="68">
        <f t="shared" si="14"/>
        <v>4</v>
      </c>
      <c r="J14" s="68">
        <f t="shared" si="14"/>
        <v>2.666666667</v>
      </c>
      <c r="K14" s="68">
        <f t="shared" si="14"/>
        <v>1.333333333</v>
      </c>
      <c r="L14" s="68">
        <f t="shared" si="14"/>
        <v>6.25</v>
      </c>
      <c r="M14" s="68">
        <f t="shared" si="14"/>
        <v>0.8</v>
      </c>
      <c r="N14" s="68">
        <f t="shared" si="14"/>
        <v>1</v>
      </c>
      <c r="O14" s="68">
        <f t="shared" si="14"/>
        <v>1</v>
      </c>
      <c r="P14" s="68">
        <f t="shared" si="14"/>
        <v>0.8</v>
      </c>
      <c r="Q14" s="68">
        <f t="shared" si="14"/>
        <v>1.6</v>
      </c>
      <c r="R14" s="68">
        <f t="shared" si="14"/>
        <v>0.7272727273</v>
      </c>
      <c r="S14" s="68">
        <f t="shared" si="14"/>
        <v>8</v>
      </c>
      <c r="T14" s="68">
        <f t="shared" si="14"/>
        <v>4</v>
      </c>
      <c r="U14" s="68">
        <f t="shared" si="14"/>
        <v>1.6</v>
      </c>
      <c r="V14" s="68" t="str">
        <f t="shared" si="14"/>
        <v/>
      </c>
      <c r="W14" s="68" t="str">
        <f t="shared" si="14"/>
        <v/>
      </c>
      <c r="X14" s="68" t="str">
        <f t="shared" si="14"/>
        <v/>
      </c>
      <c r="Y14" s="68" t="str">
        <f t="shared" si="14"/>
        <v/>
      </c>
      <c r="Z14" s="68" t="str">
        <f t="shared" si="14"/>
        <v/>
      </c>
      <c r="AA14" s="68" t="str">
        <f t="shared" si="14"/>
        <v/>
      </c>
    </row>
    <row r="15">
      <c r="A15" s="66" t="s">
        <v>401</v>
      </c>
      <c r="B15" s="67">
        <v>4.0</v>
      </c>
      <c r="C15" s="68">
        <f t="shared" ref="C15:AA15" si="15">IF(ISBLANK($B15),"",IFERROR($B15/C$2,""))</f>
        <v>4</v>
      </c>
      <c r="D15" s="68">
        <f t="shared" si="15"/>
        <v>4</v>
      </c>
      <c r="E15" s="68">
        <f t="shared" si="15"/>
        <v>2</v>
      </c>
      <c r="F15" s="68">
        <f t="shared" si="15"/>
        <v>1.31092437</v>
      </c>
      <c r="G15" s="68">
        <f t="shared" si="15"/>
        <v>1</v>
      </c>
      <c r="H15" s="68">
        <f t="shared" si="15"/>
        <v>1.333333333</v>
      </c>
      <c r="I15" s="68">
        <f t="shared" si="15"/>
        <v>4</v>
      </c>
      <c r="J15" s="68">
        <f t="shared" si="15"/>
        <v>2.666666667</v>
      </c>
      <c r="K15" s="68">
        <f t="shared" si="15"/>
        <v>1.333333333</v>
      </c>
      <c r="L15" s="68">
        <f t="shared" si="15"/>
        <v>6.25</v>
      </c>
      <c r="M15" s="68">
        <f t="shared" si="15"/>
        <v>0.8</v>
      </c>
      <c r="N15" s="68">
        <f t="shared" si="15"/>
        <v>1</v>
      </c>
      <c r="O15" s="68">
        <f t="shared" si="15"/>
        <v>1</v>
      </c>
      <c r="P15" s="68">
        <f t="shared" si="15"/>
        <v>0.8</v>
      </c>
      <c r="Q15" s="68">
        <f t="shared" si="15"/>
        <v>1.6</v>
      </c>
      <c r="R15" s="68">
        <f t="shared" si="15"/>
        <v>0.7272727273</v>
      </c>
      <c r="S15" s="68">
        <f t="shared" si="15"/>
        <v>8</v>
      </c>
      <c r="T15" s="68">
        <f t="shared" si="15"/>
        <v>4</v>
      </c>
      <c r="U15" s="68">
        <f t="shared" si="15"/>
        <v>1.6</v>
      </c>
      <c r="V15" s="68" t="str">
        <f t="shared" si="15"/>
        <v/>
      </c>
      <c r="W15" s="68" t="str">
        <f t="shared" si="15"/>
        <v/>
      </c>
      <c r="X15" s="68" t="str">
        <f t="shared" si="15"/>
        <v/>
      </c>
      <c r="Y15" s="68" t="str">
        <f t="shared" si="15"/>
        <v/>
      </c>
      <c r="Z15" s="68" t="str">
        <f t="shared" si="15"/>
        <v/>
      </c>
      <c r="AA15" s="68" t="str">
        <f t="shared" si="15"/>
        <v/>
      </c>
    </row>
    <row r="16">
      <c r="A16" s="66" t="s">
        <v>408</v>
      </c>
      <c r="B16" s="67">
        <v>5.0</v>
      </c>
      <c r="C16" s="68">
        <f t="shared" ref="C16:AA16" si="16">IF(ISBLANK($B16),"",IFERROR($B16/C$2,""))</f>
        <v>5</v>
      </c>
      <c r="D16" s="68">
        <f t="shared" si="16"/>
        <v>5</v>
      </c>
      <c r="E16" s="68">
        <f t="shared" si="16"/>
        <v>2.5</v>
      </c>
      <c r="F16" s="68">
        <f t="shared" si="16"/>
        <v>1.638655462</v>
      </c>
      <c r="G16" s="68">
        <f t="shared" si="16"/>
        <v>1.25</v>
      </c>
      <c r="H16" s="68">
        <f t="shared" si="16"/>
        <v>1.666666667</v>
      </c>
      <c r="I16" s="68">
        <f t="shared" si="16"/>
        <v>5</v>
      </c>
      <c r="J16" s="68">
        <f t="shared" si="16"/>
        <v>3.333333333</v>
      </c>
      <c r="K16" s="68">
        <f t="shared" si="16"/>
        <v>1.666666667</v>
      </c>
      <c r="L16" s="68">
        <f t="shared" si="16"/>
        <v>7.8125</v>
      </c>
      <c r="M16" s="68">
        <f t="shared" si="16"/>
        <v>1</v>
      </c>
      <c r="N16" s="68">
        <f t="shared" si="16"/>
        <v>1.25</v>
      </c>
      <c r="O16" s="68">
        <f t="shared" si="16"/>
        <v>1.25</v>
      </c>
      <c r="P16" s="68">
        <f t="shared" si="16"/>
        <v>1</v>
      </c>
      <c r="Q16" s="68">
        <f t="shared" si="16"/>
        <v>2</v>
      </c>
      <c r="R16" s="68">
        <f t="shared" si="16"/>
        <v>0.9090909091</v>
      </c>
      <c r="S16" s="68">
        <f t="shared" si="16"/>
        <v>10</v>
      </c>
      <c r="T16" s="68">
        <f t="shared" si="16"/>
        <v>5</v>
      </c>
      <c r="U16" s="68">
        <f t="shared" si="16"/>
        <v>2</v>
      </c>
      <c r="V16" s="68" t="str">
        <f t="shared" si="16"/>
        <v/>
      </c>
      <c r="W16" s="68" t="str">
        <f t="shared" si="16"/>
        <v/>
      </c>
      <c r="X16" s="68" t="str">
        <f t="shared" si="16"/>
        <v/>
      </c>
      <c r="Y16" s="68" t="str">
        <f t="shared" si="16"/>
        <v/>
      </c>
      <c r="Z16" s="68" t="str">
        <f t="shared" si="16"/>
        <v/>
      </c>
      <c r="AA16" s="68" t="str">
        <f t="shared" si="16"/>
        <v/>
      </c>
    </row>
    <row r="17">
      <c r="A17" s="66" t="s">
        <v>412</v>
      </c>
      <c r="B17" s="69">
        <f>2.5</f>
        <v>2.5</v>
      </c>
      <c r="C17" s="68">
        <f t="shared" ref="C17:AA17" si="17">IF(ISBLANK($B17),"",IFERROR($B17/C$2,""))</f>
        <v>2.5</v>
      </c>
      <c r="D17" s="68">
        <f t="shared" si="17"/>
        <v>2.5</v>
      </c>
      <c r="E17" s="68">
        <f t="shared" si="17"/>
        <v>1.25</v>
      </c>
      <c r="F17" s="68">
        <f t="shared" si="17"/>
        <v>0.8193277311</v>
      </c>
      <c r="G17" s="68">
        <f t="shared" si="17"/>
        <v>0.625</v>
      </c>
      <c r="H17" s="68">
        <f t="shared" si="17"/>
        <v>0.8333333333</v>
      </c>
      <c r="I17" s="68">
        <f t="shared" si="17"/>
        <v>2.5</v>
      </c>
      <c r="J17" s="68">
        <f t="shared" si="17"/>
        <v>1.666666667</v>
      </c>
      <c r="K17" s="68">
        <f t="shared" si="17"/>
        <v>0.8333333333</v>
      </c>
      <c r="L17" s="68">
        <f t="shared" si="17"/>
        <v>3.90625</v>
      </c>
      <c r="M17" s="68">
        <f t="shared" si="17"/>
        <v>0.5</v>
      </c>
      <c r="N17" s="68">
        <f t="shared" si="17"/>
        <v>0.625</v>
      </c>
      <c r="O17" s="68">
        <f t="shared" si="17"/>
        <v>0.625</v>
      </c>
      <c r="P17" s="68">
        <f t="shared" si="17"/>
        <v>0.5</v>
      </c>
      <c r="Q17" s="68">
        <f t="shared" si="17"/>
        <v>1</v>
      </c>
      <c r="R17" s="68">
        <f t="shared" si="17"/>
        <v>0.4545454545</v>
      </c>
      <c r="S17" s="68">
        <f t="shared" si="17"/>
        <v>5</v>
      </c>
      <c r="T17" s="68">
        <f t="shared" si="17"/>
        <v>2.5</v>
      </c>
      <c r="U17" s="68">
        <f t="shared" si="17"/>
        <v>1</v>
      </c>
      <c r="V17" s="68" t="str">
        <f t="shared" si="17"/>
        <v/>
      </c>
      <c r="W17" s="68" t="str">
        <f t="shared" si="17"/>
        <v/>
      </c>
      <c r="X17" s="68" t="str">
        <f t="shared" si="17"/>
        <v/>
      </c>
      <c r="Y17" s="68" t="str">
        <f t="shared" si="17"/>
        <v/>
      </c>
      <c r="Z17" s="68" t="str">
        <f t="shared" si="17"/>
        <v/>
      </c>
      <c r="AA17" s="68" t="str">
        <f t="shared" si="17"/>
        <v/>
      </c>
    </row>
    <row r="18">
      <c r="A18" s="66" t="s">
        <v>414</v>
      </c>
      <c r="B18" s="67">
        <v>5.5</v>
      </c>
      <c r="C18" s="68">
        <f t="shared" ref="C18:AA18" si="18">IF(ISBLANK($B18),"",IFERROR($B18/C$2,""))</f>
        <v>5.5</v>
      </c>
      <c r="D18" s="68">
        <f t="shared" si="18"/>
        <v>5.5</v>
      </c>
      <c r="E18" s="68">
        <f t="shared" si="18"/>
        <v>2.75</v>
      </c>
      <c r="F18" s="68">
        <f t="shared" si="18"/>
        <v>1.802521008</v>
      </c>
      <c r="G18" s="68">
        <f t="shared" si="18"/>
        <v>1.375</v>
      </c>
      <c r="H18" s="68">
        <f t="shared" si="18"/>
        <v>1.833333333</v>
      </c>
      <c r="I18" s="68">
        <f t="shared" si="18"/>
        <v>5.5</v>
      </c>
      <c r="J18" s="68">
        <f t="shared" si="18"/>
        <v>3.666666667</v>
      </c>
      <c r="K18" s="68">
        <f t="shared" si="18"/>
        <v>1.833333333</v>
      </c>
      <c r="L18" s="68">
        <f t="shared" si="18"/>
        <v>8.59375</v>
      </c>
      <c r="M18" s="68">
        <f t="shared" si="18"/>
        <v>1.1</v>
      </c>
      <c r="N18" s="68">
        <f t="shared" si="18"/>
        <v>1.375</v>
      </c>
      <c r="O18" s="68">
        <f t="shared" si="18"/>
        <v>1.375</v>
      </c>
      <c r="P18" s="68">
        <f t="shared" si="18"/>
        <v>1.1</v>
      </c>
      <c r="Q18" s="68">
        <f t="shared" si="18"/>
        <v>2.2</v>
      </c>
      <c r="R18" s="68">
        <f t="shared" si="18"/>
        <v>1</v>
      </c>
      <c r="S18" s="68">
        <f t="shared" si="18"/>
        <v>11</v>
      </c>
      <c r="T18" s="68">
        <f t="shared" si="18"/>
        <v>5.5</v>
      </c>
      <c r="U18" s="68">
        <f t="shared" si="18"/>
        <v>2.2</v>
      </c>
      <c r="V18" s="68" t="str">
        <f t="shared" si="18"/>
        <v/>
      </c>
      <c r="W18" s="68" t="str">
        <f t="shared" si="18"/>
        <v/>
      </c>
      <c r="X18" s="68" t="str">
        <f t="shared" si="18"/>
        <v/>
      </c>
      <c r="Y18" s="68" t="str">
        <f t="shared" si="18"/>
        <v/>
      </c>
      <c r="Z18" s="68" t="str">
        <f t="shared" si="18"/>
        <v/>
      </c>
      <c r="AA18" s="68" t="str">
        <f t="shared" si="18"/>
        <v/>
      </c>
    </row>
    <row r="19">
      <c r="A19" s="66" t="s">
        <v>417</v>
      </c>
      <c r="B19" s="67">
        <v>0.5</v>
      </c>
      <c r="C19" s="68">
        <f t="shared" ref="C19:AA19" si="19">IF(ISBLANK($B19),"",IFERROR($B19/C$2,""))</f>
        <v>0.5</v>
      </c>
      <c r="D19" s="68">
        <f t="shared" si="19"/>
        <v>0.5</v>
      </c>
      <c r="E19" s="68">
        <f t="shared" si="19"/>
        <v>0.25</v>
      </c>
      <c r="F19" s="68">
        <f t="shared" si="19"/>
        <v>0.1638655462</v>
      </c>
      <c r="G19" s="68">
        <f t="shared" si="19"/>
        <v>0.125</v>
      </c>
      <c r="H19" s="68">
        <f t="shared" si="19"/>
        <v>0.1666666667</v>
      </c>
      <c r="I19" s="68">
        <f t="shared" si="19"/>
        <v>0.5</v>
      </c>
      <c r="J19" s="68">
        <f t="shared" si="19"/>
        <v>0.3333333333</v>
      </c>
      <c r="K19" s="68">
        <f t="shared" si="19"/>
        <v>0.1666666667</v>
      </c>
      <c r="L19" s="68">
        <f t="shared" si="19"/>
        <v>0.78125</v>
      </c>
      <c r="M19" s="68">
        <f t="shared" si="19"/>
        <v>0.1</v>
      </c>
      <c r="N19" s="68">
        <f t="shared" si="19"/>
        <v>0.125</v>
      </c>
      <c r="O19" s="68">
        <f t="shared" si="19"/>
        <v>0.125</v>
      </c>
      <c r="P19" s="68">
        <f t="shared" si="19"/>
        <v>0.1</v>
      </c>
      <c r="Q19" s="68">
        <f t="shared" si="19"/>
        <v>0.2</v>
      </c>
      <c r="R19" s="68">
        <f t="shared" si="19"/>
        <v>0.09090909091</v>
      </c>
      <c r="S19" s="68">
        <f t="shared" si="19"/>
        <v>1</v>
      </c>
      <c r="T19" s="68">
        <f t="shared" si="19"/>
        <v>0.5</v>
      </c>
      <c r="U19" s="68">
        <f t="shared" si="19"/>
        <v>0.2</v>
      </c>
      <c r="V19" s="68" t="str">
        <f t="shared" si="19"/>
        <v/>
      </c>
      <c r="W19" s="68" t="str">
        <f t="shared" si="19"/>
        <v/>
      </c>
      <c r="X19" s="68" t="str">
        <f t="shared" si="19"/>
        <v/>
      </c>
      <c r="Y19" s="68" t="str">
        <f t="shared" si="19"/>
        <v/>
      </c>
      <c r="Z19" s="68" t="str">
        <f t="shared" si="19"/>
        <v/>
      </c>
      <c r="AA19" s="68" t="str">
        <f t="shared" si="19"/>
        <v/>
      </c>
    </row>
    <row r="20">
      <c r="A20" s="66" t="s">
        <v>420</v>
      </c>
      <c r="B20" s="67">
        <v>1.0</v>
      </c>
      <c r="C20" s="68">
        <f t="shared" ref="C20:AA20" si="20">IF(ISBLANK($B20),"",IFERROR($B20/C$2,""))</f>
        <v>1</v>
      </c>
      <c r="D20" s="68">
        <f t="shared" si="20"/>
        <v>1</v>
      </c>
      <c r="E20" s="68">
        <f t="shared" si="20"/>
        <v>0.5</v>
      </c>
      <c r="F20" s="68">
        <f t="shared" si="20"/>
        <v>0.3277310924</v>
      </c>
      <c r="G20" s="68">
        <f t="shared" si="20"/>
        <v>0.25</v>
      </c>
      <c r="H20" s="68">
        <f t="shared" si="20"/>
        <v>0.3333333333</v>
      </c>
      <c r="I20" s="68">
        <f t="shared" si="20"/>
        <v>1</v>
      </c>
      <c r="J20" s="68">
        <f t="shared" si="20"/>
        <v>0.6666666667</v>
      </c>
      <c r="K20" s="68">
        <f t="shared" si="20"/>
        <v>0.3333333333</v>
      </c>
      <c r="L20" s="68">
        <f t="shared" si="20"/>
        <v>1.5625</v>
      </c>
      <c r="M20" s="68">
        <f t="shared" si="20"/>
        <v>0.2</v>
      </c>
      <c r="N20" s="68">
        <f t="shared" si="20"/>
        <v>0.25</v>
      </c>
      <c r="O20" s="68">
        <f t="shared" si="20"/>
        <v>0.25</v>
      </c>
      <c r="P20" s="68">
        <f t="shared" si="20"/>
        <v>0.2</v>
      </c>
      <c r="Q20" s="68">
        <f t="shared" si="20"/>
        <v>0.4</v>
      </c>
      <c r="R20" s="68">
        <f t="shared" si="20"/>
        <v>0.1818181818</v>
      </c>
      <c r="S20" s="68">
        <f t="shared" si="20"/>
        <v>2</v>
      </c>
      <c r="T20" s="68">
        <f t="shared" si="20"/>
        <v>1</v>
      </c>
      <c r="U20" s="68">
        <f t="shared" si="20"/>
        <v>0.4</v>
      </c>
      <c r="V20" s="68" t="str">
        <f t="shared" si="20"/>
        <v/>
      </c>
      <c r="W20" s="68" t="str">
        <f t="shared" si="20"/>
        <v/>
      </c>
      <c r="X20" s="68" t="str">
        <f t="shared" si="20"/>
        <v/>
      </c>
      <c r="Y20" s="68" t="str">
        <f t="shared" si="20"/>
        <v/>
      </c>
      <c r="Z20" s="68" t="str">
        <f t="shared" si="20"/>
        <v/>
      </c>
      <c r="AA20" s="68" t="str">
        <f t="shared" si="20"/>
        <v/>
      </c>
    </row>
    <row r="21">
      <c r="A21" s="66" t="s">
        <v>423</v>
      </c>
      <c r="B21" s="69">
        <f>5 / 2</f>
        <v>2.5</v>
      </c>
      <c r="C21" s="68">
        <f t="shared" ref="C21:AA21" si="21">IF(ISBLANK($B21),"",IFERROR($B21/C$2,""))</f>
        <v>2.5</v>
      </c>
      <c r="D21" s="68">
        <f t="shared" si="21"/>
        <v>2.5</v>
      </c>
      <c r="E21" s="68">
        <f t="shared" si="21"/>
        <v>1.25</v>
      </c>
      <c r="F21" s="68">
        <f t="shared" si="21"/>
        <v>0.8193277311</v>
      </c>
      <c r="G21" s="68">
        <f t="shared" si="21"/>
        <v>0.625</v>
      </c>
      <c r="H21" s="68">
        <f t="shared" si="21"/>
        <v>0.8333333333</v>
      </c>
      <c r="I21" s="68">
        <f t="shared" si="21"/>
        <v>2.5</v>
      </c>
      <c r="J21" s="68">
        <f t="shared" si="21"/>
        <v>1.666666667</v>
      </c>
      <c r="K21" s="68">
        <f t="shared" si="21"/>
        <v>0.8333333333</v>
      </c>
      <c r="L21" s="68">
        <f t="shared" si="21"/>
        <v>3.90625</v>
      </c>
      <c r="M21" s="68">
        <f t="shared" si="21"/>
        <v>0.5</v>
      </c>
      <c r="N21" s="68">
        <f t="shared" si="21"/>
        <v>0.625</v>
      </c>
      <c r="O21" s="68">
        <f t="shared" si="21"/>
        <v>0.625</v>
      </c>
      <c r="P21" s="68">
        <f t="shared" si="21"/>
        <v>0.5</v>
      </c>
      <c r="Q21" s="68">
        <f t="shared" si="21"/>
        <v>1</v>
      </c>
      <c r="R21" s="68">
        <f t="shared" si="21"/>
        <v>0.4545454545</v>
      </c>
      <c r="S21" s="68">
        <f t="shared" si="21"/>
        <v>5</v>
      </c>
      <c r="T21" s="68">
        <f t="shared" si="21"/>
        <v>2.5</v>
      </c>
      <c r="U21" s="68">
        <f t="shared" si="21"/>
        <v>1</v>
      </c>
      <c r="V21" s="68" t="str">
        <f t="shared" si="21"/>
        <v/>
      </c>
      <c r="W21" s="68" t="str">
        <f t="shared" si="21"/>
        <v/>
      </c>
      <c r="X21" s="68" t="str">
        <f t="shared" si="21"/>
        <v/>
      </c>
      <c r="Y21" s="68" t="str">
        <f t="shared" si="21"/>
        <v/>
      </c>
      <c r="Z21" s="68" t="str">
        <f t="shared" si="21"/>
        <v/>
      </c>
      <c r="AA21" s="68" t="str">
        <f t="shared" si="21"/>
        <v/>
      </c>
    </row>
    <row r="22">
      <c r="A22" s="85"/>
      <c r="B22" s="69"/>
      <c r="C22" s="68" t="str">
        <f t="shared" ref="C22:AA22" si="22">IF(ISBLANK($B22),"",IFERROR($B22/C$2,""))</f>
        <v/>
      </c>
      <c r="D22" s="68" t="str">
        <f t="shared" si="22"/>
        <v/>
      </c>
      <c r="E22" s="68" t="str">
        <f t="shared" si="22"/>
        <v/>
      </c>
      <c r="F22" s="68" t="str">
        <f t="shared" si="22"/>
        <v/>
      </c>
      <c r="G22" s="68" t="str">
        <f t="shared" si="22"/>
        <v/>
      </c>
      <c r="H22" s="68" t="str">
        <f t="shared" si="22"/>
        <v/>
      </c>
      <c r="I22" s="68" t="str">
        <f t="shared" si="22"/>
        <v/>
      </c>
      <c r="J22" s="68" t="str">
        <f t="shared" si="22"/>
        <v/>
      </c>
      <c r="K22" s="68" t="str">
        <f t="shared" si="22"/>
        <v/>
      </c>
      <c r="L22" s="68" t="str">
        <f t="shared" si="22"/>
        <v/>
      </c>
      <c r="M22" s="68" t="str">
        <f t="shared" si="22"/>
        <v/>
      </c>
      <c r="N22" s="68" t="str">
        <f t="shared" si="22"/>
        <v/>
      </c>
      <c r="O22" s="68" t="str">
        <f t="shared" si="22"/>
        <v/>
      </c>
      <c r="P22" s="68" t="str">
        <f t="shared" si="22"/>
        <v/>
      </c>
      <c r="Q22" s="68" t="str">
        <f t="shared" si="22"/>
        <v/>
      </c>
      <c r="R22" s="68" t="str">
        <f t="shared" si="22"/>
        <v/>
      </c>
      <c r="S22" s="68" t="str">
        <f t="shared" si="22"/>
        <v/>
      </c>
      <c r="T22" s="68" t="str">
        <f t="shared" si="22"/>
        <v/>
      </c>
      <c r="U22" s="68" t="str">
        <f t="shared" si="22"/>
        <v/>
      </c>
      <c r="V22" s="68" t="str">
        <f t="shared" si="22"/>
        <v/>
      </c>
      <c r="W22" s="68" t="str">
        <f t="shared" si="22"/>
        <v/>
      </c>
      <c r="X22" s="68" t="str">
        <f t="shared" si="22"/>
        <v/>
      </c>
      <c r="Y22" s="68" t="str">
        <f t="shared" si="22"/>
        <v/>
      </c>
      <c r="Z22" s="68" t="str">
        <f t="shared" si="22"/>
        <v/>
      </c>
      <c r="AA22" s="68" t="str">
        <f t="shared" si="22"/>
        <v/>
      </c>
    </row>
    <row r="23">
      <c r="A23" s="85"/>
      <c r="B23" s="69"/>
      <c r="C23" s="68" t="str">
        <f t="shared" ref="C23:AA23" si="23">IF(ISBLANK($B23),"",IFERROR($B23/C$2,""))</f>
        <v/>
      </c>
      <c r="D23" s="68" t="str">
        <f t="shared" si="23"/>
        <v/>
      </c>
      <c r="E23" s="68" t="str">
        <f t="shared" si="23"/>
        <v/>
      </c>
      <c r="F23" s="68" t="str">
        <f t="shared" si="23"/>
        <v/>
      </c>
      <c r="G23" s="68" t="str">
        <f t="shared" si="23"/>
        <v/>
      </c>
      <c r="H23" s="68" t="str">
        <f t="shared" si="23"/>
        <v/>
      </c>
      <c r="I23" s="68" t="str">
        <f t="shared" si="23"/>
        <v/>
      </c>
      <c r="J23" s="68" t="str">
        <f t="shared" si="23"/>
        <v/>
      </c>
      <c r="K23" s="68" t="str">
        <f t="shared" si="23"/>
        <v/>
      </c>
      <c r="L23" s="68" t="str">
        <f t="shared" si="23"/>
        <v/>
      </c>
      <c r="M23" s="68" t="str">
        <f t="shared" si="23"/>
        <v/>
      </c>
      <c r="N23" s="68" t="str">
        <f t="shared" si="23"/>
        <v/>
      </c>
      <c r="O23" s="68" t="str">
        <f t="shared" si="23"/>
        <v/>
      </c>
      <c r="P23" s="68" t="str">
        <f t="shared" si="23"/>
        <v/>
      </c>
      <c r="Q23" s="68" t="str">
        <f t="shared" si="23"/>
        <v/>
      </c>
      <c r="R23" s="68" t="str">
        <f t="shared" si="23"/>
        <v/>
      </c>
      <c r="S23" s="68" t="str">
        <f t="shared" si="23"/>
        <v/>
      </c>
      <c r="T23" s="68" t="str">
        <f t="shared" si="23"/>
        <v/>
      </c>
      <c r="U23" s="68" t="str">
        <f t="shared" si="23"/>
        <v/>
      </c>
      <c r="V23" s="68" t="str">
        <f t="shared" si="23"/>
        <v/>
      </c>
      <c r="W23" s="68" t="str">
        <f t="shared" si="23"/>
        <v/>
      </c>
      <c r="X23" s="68" t="str">
        <f t="shared" si="23"/>
        <v/>
      </c>
      <c r="Y23" s="68" t="str">
        <f t="shared" si="23"/>
        <v/>
      </c>
      <c r="Z23" s="68" t="str">
        <f t="shared" si="23"/>
        <v/>
      </c>
      <c r="AA23" s="68" t="str">
        <f t="shared" si="23"/>
        <v/>
      </c>
    </row>
    <row r="24">
      <c r="A24" s="85"/>
      <c r="B24" s="69"/>
      <c r="C24" s="68" t="str">
        <f t="shared" ref="C24:AA24" si="24">IF(ISBLANK($B24),"",IFERROR($B24/C$2,""))</f>
        <v/>
      </c>
      <c r="D24" s="68" t="str">
        <f t="shared" si="24"/>
        <v/>
      </c>
      <c r="E24" s="68" t="str">
        <f t="shared" si="24"/>
        <v/>
      </c>
      <c r="F24" s="68" t="str">
        <f t="shared" si="24"/>
        <v/>
      </c>
      <c r="G24" s="68" t="str">
        <f t="shared" si="24"/>
        <v/>
      </c>
      <c r="H24" s="68" t="str">
        <f t="shared" si="24"/>
        <v/>
      </c>
      <c r="I24" s="68" t="str">
        <f t="shared" si="24"/>
        <v/>
      </c>
      <c r="J24" s="68" t="str">
        <f t="shared" si="24"/>
        <v/>
      </c>
      <c r="K24" s="68" t="str">
        <f t="shared" si="24"/>
        <v/>
      </c>
      <c r="L24" s="68" t="str">
        <f t="shared" si="24"/>
        <v/>
      </c>
      <c r="M24" s="68" t="str">
        <f t="shared" si="24"/>
        <v/>
      </c>
      <c r="N24" s="68" t="str">
        <f t="shared" si="24"/>
        <v/>
      </c>
      <c r="O24" s="68" t="str">
        <f t="shared" si="24"/>
        <v/>
      </c>
      <c r="P24" s="68" t="str">
        <f t="shared" si="24"/>
        <v/>
      </c>
      <c r="Q24" s="68" t="str">
        <f t="shared" si="24"/>
        <v/>
      </c>
      <c r="R24" s="68" t="str">
        <f t="shared" si="24"/>
        <v/>
      </c>
      <c r="S24" s="68" t="str">
        <f t="shared" si="24"/>
        <v/>
      </c>
      <c r="T24" s="68" t="str">
        <f t="shared" si="24"/>
        <v/>
      </c>
      <c r="U24" s="68" t="str">
        <f t="shared" si="24"/>
        <v/>
      </c>
      <c r="V24" s="68" t="str">
        <f t="shared" si="24"/>
        <v/>
      </c>
      <c r="W24" s="68" t="str">
        <f t="shared" si="24"/>
        <v/>
      </c>
      <c r="X24" s="68" t="str">
        <f t="shared" si="24"/>
        <v/>
      </c>
      <c r="Y24" s="68" t="str">
        <f t="shared" si="24"/>
        <v/>
      </c>
      <c r="Z24" s="68" t="str">
        <f t="shared" si="24"/>
        <v/>
      </c>
      <c r="AA24" s="68" t="str">
        <f t="shared" si="24"/>
        <v/>
      </c>
    </row>
    <row r="25">
      <c r="A25" s="85"/>
      <c r="B25" s="69"/>
      <c r="C25" s="68" t="str">
        <f t="shared" ref="C25:AA25" si="25">IF(ISBLANK($B25),"",IFERROR($B25/C$2,""))</f>
        <v/>
      </c>
      <c r="D25" s="68" t="str">
        <f t="shared" si="25"/>
        <v/>
      </c>
      <c r="E25" s="68" t="str">
        <f t="shared" si="25"/>
        <v/>
      </c>
      <c r="F25" s="68" t="str">
        <f t="shared" si="25"/>
        <v/>
      </c>
      <c r="G25" s="68" t="str">
        <f t="shared" si="25"/>
        <v/>
      </c>
      <c r="H25" s="68" t="str">
        <f t="shared" si="25"/>
        <v/>
      </c>
      <c r="I25" s="68" t="str">
        <f t="shared" si="25"/>
        <v/>
      </c>
      <c r="J25" s="68" t="str">
        <f t="shared" si="25"/>
        <v/>
      </c>
      <c r="K25" s="68" t="str">
        <f t="shared" si="25"/>
        <v/>
      </c>
      <c r="L25" s="68" t="str">
        <f t="shared" si="25"/>
        <v/>
      </c>
      <c r="M25" s="68" t="str">
        <f t="shared" si="25"/>
        <v/>
      </c>
      <c r="N25" s="68" t="str">
        <f t="shared" si="25"/>
        <v/>
      </c>
      <c r="O25" s="68" t="str">
        <f t="shared" si="25"/>
        <v/>
      </c>
      <c r="P25" s="68" t="str">
        <f t="shared" si="25"/>
        <v/>
      </c>
      <c r="Q25" s="68" t="str">
        <f t="shared" si="25"/>
        <v/>
      </c>
      <c r="R25" s="68" t="str">
        <f t="shared" si="25"/>
        <v/>
      </c>
      <c r="S25" s="68" t="str">
        <f t="shared" si="25"/>
        <v/>
      </c>
      <c r="T25" s="68" t="str">
        <f t="shared" si="25"/>
        <v/>
      </c>
      <c r="U25" s="68" t="str">
        <f t="shared" si="25"/>
        <v/>
      </c>
      <c r="V25" s="68" t="str">
        <f t="shared" si="25"/>
        <v/>
      </c>
      <c r="W25" s="68" t="str">
        <f t="shared" si="25"/>
        <v/>
      </c>
      <c r="X25" s="68" t="str">
        <f t="shared" si="25"/>
        <v/>
      </c>
      <c r="Y25" s="68" t="str">
        <f t="shared" si="25"/>
        <v/>
      </c>
      <c r="Z25" s="68" t="str">
        <f t="shared" si="25"/>
        <v/>
      </c>
      <c r="AA25" s="68" t="str">
        <f t="shared" si="25"/>
        <v/>
      </c>
    </row>
    <row r="26">
      <c r="A26" s="85"/>
      <c r="B26" s="69"/>
      <c r="C26" s="68" t="str">
        <f t="shared" ref="C26:AA26" si="26">IF(ISBLANK($B26),"",IFERROR($B26/C$2,""))</f>
        <v/>
      </c>
      <c r="D26" s="68" t="str">
        <f t="shared" si="26"/>
        <v/>
      </c>
      <c r="E26" s="68" t="str">
        <f t="shared" si="26"/>
        <v/>
      </c>
      <c r="F26" s="68" t="str">
        <f t="shared" si="26"/>
        <v/>
      </c>
      <c r="G26" s="68" t="str">
        <f t="shared" si="26"/>
        <v/>
      </c>
      <c r="H26" s="68" t="str">
        <f t="shared" si="26"/>
        <v/>
      </c>
      <c r="I26" s="68" t="str">
        <f t="shared" si="26"/>
        <v/>
      </c>
      <c r="J26" s="68" t="str">
        <f t="shared" si="26"/>
        <v/>
      </c>
      <c r="K26" s="68" t="str">
        <f t="shared" si="26"/>
        <v/>
      </c>
      <c r="L26" s="68" t="str">
        <f t="shared" si="26"/>
        <v/>
      </c>
      <c r="M26" s="68" t="str">
        <f t="shared" si="26"/>
        <v/>
      </c>
      <c r="N26" s="68" t="str">
        <f t="shared" si="26"/>
        <v/>
      </c>
      <c r="O26" s="68" t="str">
        <f t="shared" si="26"/>
        <v/>
      </c>
      <c r="P26" s="68" t="str">
        <f t="shared" si="26"/>
        <v/>
      </c>
      <c r="Q26" s="68" t="str">
        <f t="shared" si="26"/>
        <v/>
      </c>
      <c r="R26" s="68" t="str">
        <f t="shared" si="26"/>
        <v/>
      </c>
      <c r="S26" s="68" t="str">
        <f t="shared" si="26"/>
        <v/>
      </c>
      <c r="T26" s="68" t="str">
        <f t="shared" si="26"/>
        <v/>
      </c>
      <c r="U26" s="68" t="str">
        <f t="shared" si="26"/>
        <v/>
      </c>
      <c r="V26" s="68" t="str">
        <f t="shared" si="26"/>
        <v/>
      </c>
      <c r="W26" s="68" t="str">
        <f t="shared" si="26"/>
        <v/>
      </c>
      <c r="X26" s="68" t="str">
        <f t="shared" si="26"/>
        <v/>
      </c>
      <c r="Y26" s="68" t="str">
        <f t="shared" si="26"/>
        <v/>
      </c>
      <c r="Z26" s="68" t="str">
        <f t="shared" si="26"/>
        <v/>
      </c>
      <c r="AA26" s="68" t="str">
        <f t="shared" si="26"/>
        <v/>
      </c>
    </row>
    <row r="27">
      <c r="A27" s="85"/>
      <c r="B27" s="69"/>
      <c r="C27" s="68" t="str">
        <f t="shared" ref="C27:AA27" si="27">IF(ISBLANK($B27),"",IFERROR($B27/C$2,""))</f>
        <v/>
      </c>
      <c r="D27" s="68" t="str">
        <f t="shared" si="27"/>
        <v/>
      </c>
      <c r="E27" s="68" t="str">
        <f t="shared" si="27"/>
        <v/>
      </c>
      <c r="F27" s="68" t="str">
        <f t="shared" si="27"/>
        <v/>
      </c>
      <c r="G27" s="68" t="str">
        <f t="shared" si="27"/>
        <v/>
      </c>
      <c r="H27" s="68" t="str">
        <f t="shared" si="27"/>
        <v/>
      </c>
      <c r="I27" s="68" t="str">
        <f t="shared" si="27"/>
        <v/>
      </c>
      <c r="J27" s="68" t="str">
        <f t="shared" si="27"/>
        <v/>
      </c>
      <c r="K27" s="68" t="str">
        <f t="shared" si="27"/>
        <v/>
      </c>
      <c r="L27" s="68" t="str">
        <f t="shared" si="27"/>
        <v/>
      </c>
      <c r="M27" s="68" t="str">
        <f t="shared" si="27"/>
        <v/>
      </c>
      <c r="N27" s="68" t="str">
        <f t="shared" si="27"/>
        <v/>
      </c>
      <c r="O27" s="68" t="str">
        <f t="shared" si="27"/>
        <v/>
      </c>
      <c r="P27" s="68" t="str">
        <f t="shared" si="27"/>
        <v/>
      </c>
      <c r="Q27" s="68" t="str">
        <f t="shared" si="27"/>
        <v/>
      </c>
      <c r="R27" s="68" t="str">
        <f t="shared" si="27"/>
        <v/>
      </c>
      <c r="S27" s="68" t="str">
        <f t="shared" si="27"/>
        <v/>
      </c>
      <c r="T27" s="68" t="str">
        <f t="shared" si="27"/>
        <v/>
      </c>
      <c r="U27" s="68" t="str">
        <f t="shared" si="27"/>
        <v/>
      </c>
      <c r="V27" s="68" t="str">
        <f t="shared" si="27"/>
        <v/>
      </c>
      <c r="W27" s="68" t="str">
        <f t="shared" si="27"/>
        <v/>
      </c>
      <c r="X27" s="68" t="str">
        <f t="shared" si="27"/>
        <v/>
      </c>
      <c r="Y27" s="68" t="str">
        <f t="shared" si="27"/>
        <v/>
      </c>
      <c r="Z27" s="68" t="str">
        <f t="shared" si="27"/>
        <v/>
      </c>
      <c r="AA27" s="68" t="str">
        <f t="shared" si="27"/>
        <v/>
      </c>
    </row>
    <row r="28">
      <c r="A28" s="85"/>
      <c r="B28" s="69"/>
      <c r="C28" s="68" t="str">
        <f t="shared" ref="C28:AA28" si="28">IF(ISBLANK($B28),"",IFERROR($B28/C$2,""))</f>
        <v/>
      </c>
      <c r="D28" s="68" t="str">
        <f t="shared" si="28"/>
        <v/>
      </c>
      <c r="E28" s="68" t="str">
        <f t="shared" si="28"/>
        <v/>
      </c>
      <c r="F28" s="68" t="str">
        <f t="shared" si="28"/>
        <v/>
      </c>
      <c r="G28" s="68" t="str">
        <f t="shared" si="28"/>
        <v/>
      </c>
      <c r="H28" s="68" t="str">
        <f t="shared" si="28"/>
        <v/>
      </c>
      <c r="I28" s="68" t="str">
        <f t="shared" si="28"/>
        <v/>
      </c>
      <c r="J28" s="68" t="str">
        <f t="shared" si="28"/>
        <v/>
      </c>
      <c r="K28" s="68" t="str">
        <f t="shared" si="28"/>
        <v/>
      </c>
      <c r="L28" s="68" t="str">
        <f t="shared" si="28"/>
        <v/>
      </c>
      <c r="M28" s="68" t="str">
        <f t="shared" si="28"/>
        <v/>
      </c>
      <c r="N28" s="68" t="str">
        <f t="shared" si="28"/>
        <v/>
      </c>
      <c r="O28" s="68" t="str">
        <f t="shared" si="28"/>
        <v/>
      </c>
      <c r="P28" s="68" t="str">
        <f t="shared" si="28"/>
        <v/>
      </c>
      <c r="Q28" s="68" t="str">
        <f t="shared" si="28"/>
        <v/>
      </c>
      <c r="R28" s="68" t="str">
        <f t="shared" si="28"/>
        <v/>
      </c>
      <c r="S28" s="68" t="str">
        <f t="shared" si="28"/>
        <v/>
      </c>
      <c r="T28" s="68" t="str">
        <f t="shared" si="28"/>
        <v/>
      </c>
      <c r="U28" s="68" t="str">
        <f t="shared" si="28"/>
        <v/>
      </c>
      <c r="V28" s="68" t="str">
        <f t="shared" si="28"/>
        <v/>
      </c>
      <c r="W28" s="68" t="str">
        <f t="shared" si="28"/>
        <v/>
      </c>
      <c r="X28" s="68" t="str">
        <f t="shared" si="28"/>
        <v/>
      </c>
      <c r="Y28" s="68" t="str">
        <f t="shared" si="28"/>
        <v/>
      </c>
      <c r="Z28" s="68" t="str">
        <f t="shared" si="28"/>
        <v/>
      </c>
      <c r="AA28" s="68" t="str">
        <f t="shared" si="28"/>
        <v/>
      </c>
    </row>
    <row r="29">
      <c r="A29" s="85"/>
      <c r="B29" s="69"/>
      <c r="C29" s="68" t="str">
        <f t="shared" ref="C29:AA29" si="29">IF(ISBLANK($B29),"",IFERROR($B29/C$2,""))</f>
        <v/>
      </c>
      <c r="D29" s="68" t="str">
        <f t="shared" si="29"/>
        <v/>
      </c>
      <c r="E29" s="68" t="str">
        <f t="shared" si="29"/>
        <v/>
      </c>
      <c r="F29" s="68" t="str">
        <f t="shared" si="29"/>
        <v/>
      </c>
      <c r="G29" s="68" t="str">
        <f t="shared" si="29"/>
        <v/>
      </c>
      <c r="H29" s="68" t="str">
        <f t="shared" si="29"/>
        <v/>
      </c>
      <c r="I29" s="68" t="str">
        <f t="shared" si="29"/>
        <v/>
      </c>
      <c r="J29" s="68" t="str">
        <f t="shared" si="29"/>
        <v/>
      </c>
      <c r="K29" s="68" t="str">
        <f t="shared" si="29"/>
        <v/>
      </c>
      <c r="L29" s="68" t="str">
        <f t="shared" si="29"/>
        <v/>
      </c>
      <c r="M29" s="68" t="str">
        <f t="shared" si="29"/>
        <v/>
      </c>
      <c r="N29" s="68" t="str">
        <f t="shared" si="29"/>
        <v/>
      </c>
      <c r="O29" s="68" t="str">
        <f t="shared" si="29"/>
        <v/>
      </c>
      <c r="P29" s="68" t="str">
        <f t="shared" si="29"/>
        <v/>
      </c>
      <c r="Q29" s="68" t="str">
        <f t="shared" si="29"/>
        <v/>
      </c>
      <c r="R29" s="68" t="str">
        <f t="shared" si="29"/>
        <v/>
      </c>
      <c r="S29" s="68" t="str">
        <f t="shared" si="29"/>
        <v/>
      </c>
      <c r="T29" s="68" t="str">
        <f t="shared" si="29"/>
        <v/>
      </c>
      <c r="U29" s="68" t="str">
        <f t="shared" si="29"/>
        <v/>
      </c>
      <c r="V29" s="68" t="str">
        <f t="shared" si="29"/>
        <v/>
      </c>
      <c r="W29" s="68" t="str">
        <f t="shared" si="29"/>
        <v/>
      </c>
      <c r="X29" s="68" t="str">
        <f t="shared" si="29"/>
        <v/>
      </c>
      <c r="Y29" s="68" t="str">
        <f t="shared" si="29"/>
        <v/>
      </c>
      <c r="Z29" s="68" t="str">
        <f t="shared" si="29"/>
        <v/>
      </c>
      <c r="AA29" s="68" t="str">
        <f t="shared" si="29"/>
        <v/>
      </c>
    </row>
    <row r="30">
      <c r="A30" s="85"/>
      <c r="B30" s="69"/>
      <c r="C30" s="68" t="str">
        <f t="shared" ref="C30:AA30" si="30">IF(ISBLANK($B30),"",IFERROR($B30/C$2,""))</f>
        <v/>
      </c>
      <c r="D30" s="68" t="str">
        <f t="shared" si="30"/>
        <v/>
      </c>
      <c r="E30" s="68" t="str">
        <f t="shared" si="30"/>
        <v/>
      </c>
      <c r="F30" s="68" t="str">
        <f t="shared" si="30"/>
        <v/>
      </c>
      <c r="G30" s="68" t="str">
        <f t="shared" si="30"/>
        <v/>
      </c>
      <c r="H30" s="68" t="str">
        <f t="shared" si="30"/>
        <v/>
      </c>
      <c r="I30" s="68" t="str">
        <f t="shared" si="30"/>
        <v/>
      </c>
      <c r="J30" s="68" t="str">
        <f t="shared" si="30"/>
        <v/>
      </c>
      <c r="K30" s="68" t="str">
        <f t="shared" si="30"/>
        <v/>
      </c>
      <c r="L30" s="68" t="str">
        <f t="shared" si="30"/>
        <v/>
      </c>
      <c r="M30" s="68" t="str">
        <f t="shared" si="30"/>
        <v/>
      </c>
      <c r="N30" s="68" t="str">
        <f t="shared" si="30"/>
        <v/>
      </c>
      <c r="O30" s="68" t="str">
        <f t="shared" si="30"/>
        <v/>
      </c>
      <c r="P30" s="68" t="str">
        <f t="shared" si="30"/>
        <v/>
      </c>
      <c r="Q30" s="68" t="str">
        <f t="shared" si="30"/>
        <v/>
      </c>
      <c r="R30" s="68" t="str">
        <f t="shared" si="30"/>
        <v/>
      </c>
      <c r="S30" s="68" t="str">
        <f t="shared" si="30"/>
        <v/>
      </c>
      <c r="T30" s="68" t="str">
        <f t="shared" si="30"/>
        <v/>
      </c>
      <c r="U30" s="68" t="str">
        <f t="shared" si="30"/>
        <v/>
      </c>
      <c r="V30" s="68" t="str">
        <f t="shared" si="30"/>
        <v/>
      </c>
      <c r="W30" s="68" t="str">
        <f t="shared" si="30"/>
        <v/>
      </c>
      <c r="X30" s="68" t="str">
        <f t="shared" si="30"/>
        <v/>
      </c>
      <c r="Y30" s="68" t="str">
        <f t="shared" si="30"/>
        <v/>
      </c>
      <c r="Z30" s="68" t="str">
        <f t="shared" si="30"/>
        <v/>
      </c>
      <c r="AA30" s="68" t="str">
        <f t="shared" si="30"/>
        <v/>
      </c>
    </row>
    <row r="31">
      <c r="A31" s="85"/>
      <c r="B31" s="69"/>
      <c r="C31" s="68" t="str">
        <f t="shared" ref="C31:AA31" si="31">IF(ISBLANK($B31),"",IFERROR($B31/C$2,""))</f>
        <v/>
      </c>
      <c r="D31" s="68" t="str">
        <f t="shared" si="31"/>
        <v/>
      </c>
      <c r="E31" s="68" t="str">
        <f t="shared" si="31"/>
        <v/>
      </c>
      <c r="F31" s="68" t="str">
        <f t="shared" si="31"/>
        <v/>
      </c>
      <c r="G31" s="68" t="str">
        <f t="shared" si="31"/>
        <v/>
      </c>
      <c r="H31" s="68" t="str">
        <f t="shared" si="31"/>
        <v/>
      </c>
      <c r="I31" s="68" t="str">
        <f t="shared" si="31"/>
        <v/>
      </c>
      <c r="J31" s="68" t="str">
        <f t="shared" si="31"/>
        <v/>
      </c>
      <c r="K31" s="68" t="str">
        <f t="shared" si="31"/>
        <v/>
      </c>
      <c r="L31" s="68" t="str">
        <f t="shared" si="31"/>
        <v/>
      </c>
      <c r="M31" s="68" t="str">
        <f t="shared" si="31"/>
        <v/>
      </c>
      <c r="N31" s="68" t="str">
        <f t="shared" si="31"/>
        <v/>
      </c>
      <c r="O31" s="68" t="str">
        <f t="shared" si="31"/>
        <v/>
      </c>
      <c r="P31" s="68" t="str">
        <f t="shared" si="31"/>
        <v/>
      </c>
      <c r="Q31" s="68" t="str">
        <f t="shared" si="31"/>
        <v/>
      </c>
      <c r="R31" s="68" t="str">
        <f t="shared" si="31"/>
        <v/>
      </c>
      <c r="S31" s="68" t="str">
        <f t="shared" si="31"/>
        <v/>
      </c>
      <c r="T31" s="68" t="str">
        <f t="shared" si="31"/>
        <v/>
      </c>
      <c r="U31" s="68" t="str">
        <f t="shared" si="31"/>
        <v/>
      </c>
      <c r="V31" s="68" t="str">
        <f t="shared" si="31"/>
        <v/>
      </c>
      <c r="W31" s="68" t="str">
        <f t="shared" si="31"/>
        <v/>
      </c>
      <c r="X31" s="68" t="str">
        <f t="shared" si="31"/>
        <v/>
      </c>
      <c r="Y31" s="68" t="str">
        <f t="shared" si="31"/>
        <v/>
      </c>
      <c r="Z31" s="68" t="str">
        <f t="shared" si="31"/>
        <v/>
      </c>
      <c r="AA31" s="68" t="str">
        <f t="shared" si="31"/>
        <v/>
      </c>
    </row>
    <row r="32">
      <c r="A32" s="85"/>
      <c r="B32" s="69"/>
      <c r="C32" s="68" t="str">
        <f t="shared" ref="C32:AA32" si="32">IF(ISBLANK($B32),"",IFERROR($B32/C$2,""))</f>
        <v/>
      </c>
      <c r="D32" s="68" t="str">
        <f t="shared" si="32"/>
        <v/>
      </c>
      <c r="E32" s="68" t="str">
        <f t="shared" si="32"/>
        <v/>
      </c>
      <c r="F32" s="68" t="str">
        <f t="shared" si="32"/>
        <v/>
      </c>
      <c r="G32" s="68" t="str">
        <f t="shared" si="32"/>
        <v/>
      </c>
      <c r="H32" s="68" t="str">
        <f t="shared" si="32"/>
        <v/>
      </c>
      <c r="I32" s="68" t="str">
        <f t="shared" si="32"/>
        <v/>
      </c>
      <c r="J32" s="68" t="str">
        <f t="shared" si="32"/>
        <v/>
      </c>
      <c r="K32" s="68" t="str">
        <f t="shared" si="32"/>
        <v/>
      </c>
      <c r="L32" s="68" t="str">
        <f t="shared" si="32"/>
        <v/>
      </c>
      <c r="M32" s="68" t="str">
        <f t="shared" si="32"/>
        <v/>
      </c>
      <c r="N32" s="68" t="str">
        <f t="shared" si="32"/>
        <v/>
      </c>
      <c r="O32" s="68" t="str">
        <f t="shared" si="32"/>
        <v/>
      </c>
      <c r="P32" s="68" t="str">
        <f t="shared" si="32"/>
        <v/>
      </c>
      <c r="Q32" s="68" t="str">
        <f t="shared" si="32"/>
        <v/>
      </c>
      <c r="R32" s="68" t="str">
        <f t="shared" si="32"/>
        <v/>
      </c>
      <c r="S32" s="68" t="str">
        <f t="shared" si="32"/>
        <v/>
      </c>
      <c r="T32" s="68" t="str">
        <f t="shared" si="32"/>
        <v/>
      </c>
      <c r="U32" s="68" t="str">
        <f t="shared" si="32"/>
        <v/>
      </c>
      <c r="V32" s="68" t="str">
        <f t="shared" si="32"/>
        <v/>
      </c>
      <c r="W32" s="68" t="str">
        <f t="shared" si="32"/>
        <v/>
      </c>
      <c r="X32" s="68" t="str">
        <f t="shared" si="32"/>
        <v/>
      </c>
      <c r="Y32" s="68" t="str">
        <f t="shared" si="32"/>
        <v/>
      </c>
      <c r="Z32" s="68" t="str">
        <f t="shared" si="32"/>
        <v/>
      </c>
      <c r="AA32" s="68" t="str">
        <f t="shared" si="32"/>
        <v/>
      </c>
    </row>
    <row r="33">
      <c r="A33" s="85"/>
      <c r="B33" s="69"/>
      <c r="C33" s="68" t="str">
        <f t="shared" ref="C33:AA33" si="33">IF(ISBLANK($B33),"",IFERROR($B33/C$2,""))</f>
        <v/>
      </c>
      <c r="D33" s="68" t="str">
        <f t="shared" si="33"/>
        <v/>
      </c>
      <c r="E33" s="68" t="str">
        <f t="shared" si="33"/>
        <v/>
      </c>
      <c r="F33" s="68" t="str">
        <f t="shared" si="33"/>
        <v/>
      </c>
      <c r="G33" s="68" t="str">
        <f t="shared" si="33"/>
        <v/>
      </c>
      <c r="H33" s="68" t="str">
        <f t="shared" si="33"/>
        <v/>
      </c>
      <c r="I33" s="68" t="str">
        <f t="shared" si="33"/>
        <v/>
      </c>
      <c r="J33" s="68" t="str">
        <f t="shared" si="33"/>
        <v/>
      </c>
      <c r="K33" s="68" t="str">
        <f t="shared" si="33"/>
        <v/>
      </c>
      <c r="L33" s="68" t="str">
        <f t="shared" si="33"/>
        <v/>
      </c>
      <c r="M33" s="68" t="str">
        <f t="shared" si="33"/>
        <v/>
      </c>
      <c r="N33" s="68" t="str">
        <f t="shared" si="33"/>
        <v/>
      </c>
      <c r="O33" s="68" t="str">
        <f t="shared" si="33"/>
        <v/>
      </c>
      <c r="P33" s="68" t="str">
        <f t="shared" si="33"/>
        <v/>
      </c>
      <c r="Q33" s="68" t="str">
        <f t="shared" si="33"/>
        <v/>
      </c>
      <c r="R33" s="68" t="str">
        <f t="shared" si="33"/>
        <v/>
      </c>
      <c r="S33" s="68" t="str">
        <f t="shared" si="33"/>
        <v/>
      </c>
      <c r="T33" s="68" t="str">
        <f t="shared" si="33"/>
        <v/>
      </c>
      <c r="U33" s="68" t="str">
        <f t="shared" si="33"/>
        <v/>
      </c>
      <c r="V33" s="68" t="str">
        <f t="shared" si="33"/>
        <v/>
      </c>
      <c r="W33" s="68" t="str">
        <f t="shared" si="33"/>
        <v/>
      </c>
      <c r="X33" s="68" t="str">
        <f t="shared" si="33"/>
        <v/>
      </c>
      <c r="Y33" s="68" t="str">
        <f t="shared" si="33"/>
        <v/>
      </c>
      <c r="Z33" s="68" t="str">
        <f t="shared" si="33"/>
        <v/>
      </c>
      <c r="AA33" s="68" t="str">
        <f t="shared" si="33"/>
        <v/>
      </c>
    </row>
    <row r="34">
      <c r="A34" s="85"/>
      <c r="B34" s="69"/>
      <c r="C34" s="68" t="str">
        <f t="shared" ref="C34:AA34" si="34">IF(ISBLANK($B34),"",IFERROR($B34/C$2,""))</f>
        <v/>
      </c>
      <c r="D34" s="68" t="str">
        <f t="shared" si="34"/>
        <v/>
      </c>
      <c r="E34" s="68" t="str">
        <f t="shared" si="34"/>
        <v/>
      </c>
      <c r="F34" s="68" t="str">
        <f t="shared" si="34"/>
        <v/>
      </c>
      <c r="G34" s="68" t="str">
        <f t="shared" si="34"/>
        <v/>
      </c>
      <c r="H34" s="68" t="str">
        <f t="shared" si="34"/>
        <v/>
      </c>
      <c r="I34" s="68" t="str">
        <f t="shared" si="34"/>
        <v/>
      </c>
      <c r="J34" s="68" t="str">
        <f t="shared" si="34"/>
        <v/>
      </c>
      <c r="K34" s="68" t="str">
        <f t="shared" si="34"/>
        <v/>
      </c>
      <c r="L34" s="68" t="str">
        <f t="shared" si="34"/>
        <v/>
      </c>
      <c r="M34" s="68" t="str">
        <f t="shared" si="34"/>
        <v/>
      </c>
      <c r="N34" s="68" t="str">
        <f t="shared" si="34"/>
        <v/>
      </c>
      <c r="O34" s="68" t="str">
        <f t="shared" si="34"/>
        <v/>
      </c>
      <c r="P34" s="68" t="str">
        <f t="shared" si="34"/>
        <v/>
      </c>
      <c r="Q34" s="68" t="str">
        <f t="shared" si="34"/>
        <v/>
      </c>
      <c r="R34" s="68" t="str">
        <f t="shared" si="34"/>
        <v/>
      </c>
      <c r="S34" s="68" t="str">
        <f t="shared" si="34"/>
        <v/>
      </c>
      <c r="T34" s="68" t="str">
        <f t="shared" si="34"/>
        <v/>
      </c>
      <c r="U34" s="68" t="str">
        <f t="shared" si="34"/>
        <v/>
      </c>
      <c r="V34" s="68" t="str">
        <f t="shared" si="34"/>
        <v/>
      </c>
      <c r="W34" s="68" t="str">
        <f t="shared" si="34"/>
        <v/>
      </c>
      <c r="X34" s="68" t="str">
        <f t="shared" si="34"/>
        <v/>
      </c>
      <c r="Y34" s="68" t="str">
        <f t="shared" si="34"/>
        <v/>
      </c>
      <c r="Z34" s="68" t="str">
        <f t="shared" si="34"/>
        <v/>
      </c>
      <c r="AA34" s="68" t="str">
        <f t="shared" si="34"/>
        <v/>
      </c>
    </row>
    <row r="35">
      <c r="A35" s="85"/>
      <c r="B35" s="69"/>
      <c r="C35" s="68" t="str">
        <f t="shared" ref="C35:AA35" si="35">IF(ISBLANK($B35),"",IFERROR($B35/C$2,""))</f>
        <v/>
      </c>
      <c r="D35" s="68" t="str">
        <f t="shared" si="35"/>
        <v/>
      </c>
      <c r="E35" s="68" t="str">
        <f t="shared" si="35"/>
        <v/>
      </c>
      <c r="F35" s="68" t="str">
        <f t="shared" si="35"/>
        <v/>
      </c>
      <c r="G35" s="68" t="str">
        <f t="shared" si="35"/>
        <v/>
      </c>
      <c r="H35" s="68" t="str">
        <f t="shared" si="35"/>
        <v/>
      </c>
      <c r="I35" s="68" t="str">
        <f t="shared" si="35"/>
        <v/>
      </c>
      <c r="J35" s="68" t="str">
        <f t="shared" si="35"/>
        <v/>
      </c>
      <c r="K35" s="68" t="str">
        <f t="shared" si="35"/>
        <v/>
      </c>
      <c r="L35" s="68" t="str">
        <f t="shared" si="35"/>
        <v/>
      </c>
      <c r="M35" s="68" t="str">
        <f t="shared" si="35"/>
        <v/>
      </c>
      <c r="N35" s="68" t="str">
        <f t="shared" si="35"/>
        <v/>
      </c>
      <c r="O35" s="68" t="str">
        <f t="shared" si="35"/>
        <v/>
      </c>
      <c r="P35" s="68" t="str">
        <f t="shared" si="35"/>
        <v/>
      </c>
      <c r="Q35" s="68" t="str">
        <f t="shared" si="35"/>
        <v/>
      </c>
      <c r="R35" s="68" t="str">
        <f t="shared" si="35"/>
        <v/>
      </c>
      <c r="S35" s="68" t="str">
        <f t="shared" si="35"/>
        <v/>
      </c>
      <c r="T35" s="68" t="str">
        <f t="shared" si="35"/>
        <v/>
      </c>
      <c r="U35" s="68" t="str">
        <f t="shared" si="35"/>
        <v/>
      </c>
      <c r="V35" s="68" t="str">
        <f t="shared" si="35"/>
        <v/>
      </c>
      <c r="W35" s="68" t="str">
        <f t="shared" si="35"/>
        <v/>
      </c>
      <c r="X35" s="68" t="str">
        <f t="shared" si="35"/>
        <v/>
      </c>
      <c r="Y35" s="68" t="str">
        <f t="shared" si="35"/>
        <v/>
      </c>
      <c r="Z35" s="68" t="str">
        <f t="shared" si="35"/>
        <v/>
      </c>
      <c r="AA35" s="68" t="str">
        <f t="shared" si="35"/>
        <v/>
      </c>
    </row>
    <row r="36">
      <c r="A36" s="85"/>
      <c r="B36" s="69"/>
      <c r="C36" s="68" t="str">
        <f t="shared" ref="C36:AA36" si="36">IF(ISBLANK($B36),"",IFERROR($B36/C$2,""))</f>
        <v/>
      </c>
      <c r="D36" s="68" t="str">
        <f t="shared" si="36"/>
        <v/>
      </c>
      <c r="E36" s="68" t="str">
        <f t="shared" si="36"/>
        <v/>
      </c>
      <c r="F36" s="68" t="str">
        <f t="shared" si="36"/>
        <v/>
      </c>
      <c r="G36" s="68" t="str">
        <f t="shared" si="36"/>
        <v/>
      </c>
      <c r="H36" s="68" t="str">
        <f t="shared" si="36"/>
        <v/>
      </c>
      <c r="I36" s="68" t="str">
        <f t="shared" si="36"/>
        <v/>
      </c>
      <c r="J36" s="68" t="str">
        <f t="shared" si="36"/>
        <v/>
      </c>
      <c r="K36" s="68" t="str">
        <f t="shared" si="36"/>
        <v/>
      </c>
      <c r="L36" s="68" t="str">
        <f t="shared" si="36"/>
        <v/>
      </c>
      <c r="M36" s="68" t="str">
        <f t="shared" si="36"/>
        <v/>
      </c>
      <c r="N36" s="68" t="str">
        <f t="shared" si="36"/>
        <v/>
      </c>
      <c r="O36" s="68" t="str">
        <f t="shared" si="36"/>
        <v/>
      </c>
      <c r="P36" s="68" t="str">
        <f t="shared" si="36"/>
        <v/>
      </c>
      <c r="Q36" s="68" t="str">
        <f t="shared" si="36"/>
        <v/>
      </c>
      <c r="R36" s="68" t="str">
        <f t="shared" si="36"/>
        <v/>
      </c>
      <c r="S36" s="68" t="str">
        <f t="shared" si="36"/>
        <v/>
      </c>
      <c r="T36" s="68" t="str">
        <f t="shared" si="36"/>
        <v/>
      </c>
      <c r="U36" s="68" t="str">
        <f t="shared" si="36"/>
        <v/>
      </c>
      <c r="V36" s="68" t="str">
        <f t="shared" si="36"/>
        <v/>
      </c>
      <c r="W36" s="68" t="str">
        <f t="shared" si="36"/>
        <v/>
      </c>
      <c r="X36" s="68" t="str">
        <f t="shared" si="36"/>
        <v/>
      </c>
      <c r="Y36" s="68" t="str">
        <f t="shared" si="36"/>
        <v/>
      </c>
      <c r="Z36" s="68" t="str">
        <f t="shared" si="36"/>
        <v/>
      </c>
      <c r="AA36" s="68" t="str">
        <f t="shared" si="36"/>
        <v/>
      </c>
    </row>
    <row r="37">
      <c r="A37" s="85"/>
      <c r="B37" s="69"/>
      <c r="C37" s="68" t="str">
        <f t="shared" ref="C37:AA37" si="37">IF(ISBLANK($B37),"",IFERROR($B37/C$2,""))</f>
        <v/>
      </c>
      <c r="D37" s="68" t="str">
        <f t="shared" si="37"/>
        <v/>
      </c>
      <c r="E37" s="68" t="str">
        <f t="shared" si="37"/>
        <v/>
      </c>
      <c r="F37" s="68" t="str">
        <f t="shared" si="37"/>
        <v/>
      </c>
      <c r="G37" s="68" t="str">
        <f t="shared" si="37"/>
        <v/>
      </c>
      <c r="H37" s="68" t="str">
        <f t="shared" si="37"/>
        <v/>
      </c>
      <c r="I37" s="68" t="str">
        <f t="shared" si="37"/>
        <v/>
      </c>
      <c r="J37" s="68" t="str">
        <f t="shared" si="37"/>
        <v/>
      </c>
      <c r="K37" s="68" t="str">
        <f t="shared" si="37"/>
        <v/>
      </c>
      <c r="L37" s="68" t="str">
        <f t="shared" si="37"/>
        <v/>
      </c>
      <c r="M37" s="68" t="str">
        <f t="shared" si="37"/>
        <v/>
      </c>
      <c r="N37" s="68" t="str">
        <f t="shared" si="37"/>
        <v/>
      </c>
      <c r="O37" s="68" t="str">
        <f t="shared" si="37"/>
        <v/>
      </c>
      <c r="P37" s="68" t="str">
        <f t="shared" si="37"/>
        <v/>
      </c>
      <c r="Q37" s="68" t="str">
        <f t="shared" si="37"/>
        <v/>
      </c>
      <c r="R37" s="68" t="str">
        <f t="shared" si="37"/>
        <v/>
      </c>
      <c r="S37" s="68" t="str">
        <f t="shared" si="37"/>
        <v/>
      </c>
      <c r="T37" s="68" t="str">
        <f t="shared" si="37"/>
        <v/>
      </c>
      <c r="U37" s="68" t="str">
        <f t="shared" si="37"/>
        <v/>
      </c>
      <c r="V37" s="68" t="str">
        <f t="shared" si="37"/>
        <v/>
      </c>
      <c r="W37" s="68" t="str">
        <f t="shared" si="37"/>
        <v/>
      </c>
      <c r="X37" s="68" t="str">
        <f t="shared" si="37"/>
        <v/>
      </c>
      <c r="Y37" s="68" t="str">
        <f t="shared" si="37"/>
        <v/>
      </c>
      <c r="Z37" s="68" t="str">
        <f t="shared" si="37"/>
        <v/>
      </c>
      <c r="AA37" s="68" t="str">
        <f t="shared" si="37"/>
        <v/>
      </c>
    </row>
    <row r="38">
      <c r="A38" s="85"/>
      <c r="B38" s="69"/>
      <c r="C38" s="68" t="str">
        <f t="shared" ref="C38:AA38" si="38">IF(ISBLANK($B38),"",IFERROR($B38/C$2,""))</f>
        <v/>
      </c>
      <c r="D38" s="68" t="str">
        <f t="shared" si="38"/>
        <v/>
      </c>
      <c r="E38" s="68" t="str">
        <f t="shared" si="38"/>
        <v/>
      </c>
      <c r="F38" s="68" t="str">
        <f t="shared" si="38"/>
        <v/>
      </c>
      <c r="G38" s="68" t="str">
        <f t="shared" si="38"/>
        <v/>
      </c>
      <c r="H38" s="68" t="str">
        <f t="shared" si="38"/>
        <v/>
      </c>
      <c r="I38" s="68" t="str">
        <f t="shared" si="38"/>
        <v/>
      </c>
      <c r="J38" s="68" t="str">
        <f t="shared" si="38"/>
        <v/>
      </c>
      <c r="K38" s="68" t="str">
        <f t="shared" si="38"/>
        <v/>
      </c>
      <c r="L38" s="68" t="str">
        <f t="shared" si="38"/>
        <v/>
      </c>
      <c r="M38" s="68" t="str">
        <f t="shared" si="38"/>
        <v/>
      </c>
      <c r="N38" s="68" t="str">
        <f t="shared" si="38"/>
        <v/>
      </c>
      <c r="O38" s="68" t="str">
        <f t="shared" si="38"/>
        <v/>
      </c>
      <c r="P38" s="68" t="str">
        <f t="shared" si="38"/>
        <v/>
      </c>
      <c r="Q38" s="68" t="str">
        <f t="shared" si="38"/>
        <v/>
      </c>
      <c r="R38" s="68" t="str">
        <f t="shared" si="38"/>
        <v/>
      </c>
      <c r="S38" s="68" t="str">
        <f t="shared" si="38"/>
        <v/>
      </c>
      <c r="T38" s="68" t="str">
        <f t="shared" si="38"/>
        <v/>
      </c>
      <c r="U38" s="68" t="str">
        <f t="shared" si="38"/>
        <v/>
      </c>
      <c r="V38" s="68" t="str">
        <f t="shared" si="38"/>
        <v/>
      </c>
      <c r="W38" s="68" t="str">
        <f t="shared" si="38"/>
        <v/>
      </c>
      <c r="X38" s="68" t="str">
        <f t="shared" si="38"/>
        <v/>
      </c>
      <c r="Y38" s="68" t="str">
        <f t="shared" si="38"/>
        <v/>
      </c>
      <c r="Z38" s="68" t="str">
        <f t="shared" si="38"/>
        <v/>
      </c>
      <c r="AA38" s="68" t="str">
        <f t="shared" si="38"/>
        <v/>
      </c>
    </row>
    <row r="39">
      <c r="A39" s="85"/>
      <c r="B39" s="69"/>
      <c r="C39" s="68" t="str">
        <f t="shared" ref="C39:AA39" si="39">IF(ISBLANK($B39),"",IFERROR($B39/C$2,""))</f>
        <v/>
      </c>
      <c r="D39" s="68" t="str">
        <f t="shared" si="39"/>
        <v/>
      </c>
      <c r="E39" s="68" t="str">
        <f t="shared" si="39"/>
        <v/>
      </c>
      <c r="F39" s="68" t="str">
        <f t="shared" si="39"/>
        <v/>
      </c>
      <c r="G39" s="68" t="str">
        <f t="shared" si="39"/>
        <v/>
      </c>
      <c r="H39" s="68" t="str">
        <f t="shared" si="39"/>
        <v/>
      </c>
      <c r="I39" s="68" t="str">
        <f t="shared" si="39"/>
        <v/>
      </c>
      <c r="J39" s="68" t="str">
        <f t="shared" si="39"/>
        <v/>
      </c>
      <c r="K39" s="68" t="str">
        <f t="shared" si="39"/>
        <v/>
      </c>
      <c r="L39" s="68" t="str">
        <f t="shared" si="39"/>
        <v/>
      </c>
      <c r="M39" s="68" t="str">
        <f t="shared" si="39"/>
        <v/>
      </c>
      <c r="N39" s="68" t="str">
        <f t="shared" si="39"/>
        <v/>
      </c>
      <c r="O39" s="68" t="str">
        <f t="shared" si="39"/>
        <v/>
      </c>
      <c r="P39" s="68" t="str">
        <f t="shared" si="39"/>
        <v/>
      </c>
      <c r="Q39" s="68" t="str">
        <f t="shared" si="39"/>
        <v/>
      </c>
      <c r="R39" s="68" t="str">
        <f t="shared" si="39"/>
        <v/>
      </c>
      <c r="S39" s="68" t="str">
        <f t="shared" si="39"/>
        <v/>
      </c>
      <c r="T39" s="68" t="str">
        <f t="shared" si="39"/>
        <v/>
      </c>
      <c r="U39" s="68" t="str">
        <f t="shared" si="39"/>
        <v/>
      </c>
      <c r="V39" s="68" t="str">
        <f t="shared" si="39"/>
        <v/>
      </c>
      <c r="W39" s="68" t="str">
        <f t="shared" si="39"/>
        <v/>
      </c>
      <c r="X39" s="68" t="str">
        <f t="shared" si="39"/>
        <v/>
      </c>
      <c r="Y39" s="68" t="str">
        <f t="shared" si="39"/>
        <v/>
      </c>
      <c r="Z39" s="68" t="str">
        <f t="shared" si="39"/>
        <v/>
      </c>
      <c r="AA39" s="68" t="str">
        <f t="shared" si="39"/>
        <v/>
      </c>
    </row>
    <row r="40">
      <c r="A40" s="85"/>
      <c r="B40" s="69"/>
      <c r="C40" s="68" t="str">
        <f t="shared" ref="C40:AA40" si="40">IF(ISBLANK($B40),"",IFERROR($B40/C$2,""))</f>
        <v/>
      </c>
      <c r="D40" s="68" t="str">
        <f t="shared" si="40"/>
        <v/>
      </c>
      <c r="E40" s="68" t="str">
        <f t="shared" si="40"/>
        <v/>
      </c>
      <c r="F40" s="68" t="str">
        <f t="shared" si="40"/>
        <v/>
      </c>
      <c r="G40" s="68" t="str">
        <f t="shared" si="40"/>
        <v/>
      </c>
      <c r="H40" s="68" t="str">
        <f t="shared" si="40"/>
        <v/>
      </c>
      <c r="I40" s="68" t="str">
        <f t="shared" si="40"/>
        <v/>
      </c>
      <c r="J40" s="68" t="str">
        <f t="shared" si="40"/>
        <v/>
      </c>
      <c r="K40" s="68" t="str">
        <f t="shared" si="40"/>
        <v/>
      </c>
      <c r="L40" s="68" t="str">
        <f t="shared" si="40"/>
        <v/>
      </c>
      <c r="M40" s="68" t="str">
        <f t="shared" si="40"/>
        <v/>
      </c>
      <c r="N40" s="68" t="str">
        <f t="shared" si="40"/>
        <v/>
      </c>
      <c r="O40" s="68" t="str">
        <f t="shared" si="40"/>
        <v/>
      </c>
      <c r="P40" s="68" t="str">
        <f t="shared" si="40"/>
        <v/>
      </c>
      <c r="Q40" s="68" t="str">
        <f t="shared" si="40"/>
        <v/>
      </c>
      <c r="R40" s="68" t="str">
        <f t="shared" si="40"/>
        <v/>
      </c>
      <c r="S40" s="68" t="str">
        <f t="shared" si="40"/>
        <v/>
      </c>
      <c r="T40" s="68" t="str">
        <f t="shared" si="40"/>
        <v/>
      </c>
      <c r="U40" s="68" t="str">
        <f t="shared" si="40"/>
        <v/>
      </c>
      <c r="V40" s="68" t="str">
        <f t="shared" si="40"/>
        <v/>
      </c>
      <c r="W40" s="68" t="str">
        <f t="shared" si="40"/>
        <v/>
      </c>
      <c r="X40" s="68" t="str">
        <f t="shared" si="40"/>
        <v/>
      </c>
      <c r="Y40" s="68" t="str">
        <f t="shared" si="40"/>
        <v/>
      </c>
      <c r="Z40" s="68" t="str">
        <f t="shared" si="40"/>
        <v/>
      </c>
      <c r="AA40" s="68" t="str">
        <f t="shared" si="40"/>
        <v/>
      </c>
    </row>
    <row r="41">
      <c r="A41" s="85"/>
      <c r="B41" s="69"/>
      <c r="C41" s="68" t="str">
        <f t="shared" ref="C41:AA41" si="41">IF(ISBLANK($B41),"",IFERROR($B41/C$2,""))</f>
        <v/>
      </c>
      <c r="D41" s="68" t="str">
        <f t="shared" si="41"/>
        <v/>
      </c>
      <c r="E41" s="68" t="str">
        <f t="shared" si="41"/>
        <v/>
      </c>
      <c r="F41" s="68" t="str">
        <f t="shared" si="41"/>
        <v/>
      </c>
      <c r="G41" s="68" t="str">
        <f t="shared" si="41"/>
        <v/>
      </c>
      <c r="H41" s="68" t="str">
        <f t="shared" si="41"/>
        <v/>
      </c>
      <c r="I41" s="68" t="str">
        <f t="shared" si="41"/>
        <v/>
      </c>
      <c r="J41" s="68" t="str">
        <f t="shared" si="41"/>
        <v/>
      </c>
      <c r="K41" s="68" t="str">
        <f t="shared" si="41"/>
        <v/>
      </c>
      <c r="L41" s="68" t="str">
        <f t="shared" si="41"/>
        <v/>
      </c>
      <c r="M41" s="68" t="str">
        <f t="shared" si="41"/>
        <v/>
      </c>
      <c r="N41" s="68" t="str">
        <f t="shared" si="41"/>
        <v/>
      </c>
      <c r="O41" s="68" t="str">
        <f t="shared" si="41"/>
        <v/>
      </c>
      <c r="P41" s="68" t="str">
        <f t="shared" si="41"/>
        <v/>
      </c>
      <c r="Q41" s="68" t="str">
        <f t="shared" si="41"/>
        <v/>
      </c>
      <c r="R41" s="68" t="str">
        <f t="shared" si="41"/>
        <v/>
      </c>
      <c r="S41" s="68" t="str">
        <f t="shared" si="41"/>
        <v/>
      </c>
      <c r="T41" s="68" t="str">
        <f t="shared" si="41"/>
        <v/>
      </c>
      <c r="U41" s="68" t="str">
        <f t="shared" si="41"/>
        <v/>
      </c>
      <c r="V41" s="68" t="str">
        <f t="shared" si="41"/>
        <v/>
      </c>
      <c r="W41" s="68" t="str">
        <f t="shared" si="41"/>
        <v/>
      </c>
      <c r="X41" s="68" t="str">
        <f t="shared" si="41"/>
        <v/>
      </c>
      <c r="Y41" s="68" t="str">
        <f t="shared" si="41"/>
        <v/>
      </c>
      <c r="Z41" s="68" t="str">
        <f t="shared" si="41"/>
        <v/>
      </c>
      <c r="AA41" s="68" t="str">
        <f t="shared" si="41"/>
        <v/>
      </c>
    </row>
    <row r="42">
      <c r="A42" s="85"/>
      <c r="B42" s="69"/>
      <c r="C42" s="68" t="str">
        <f t="shared" ref="C42:AA42" si="42">IF(ISBLANK($B42),"",IFERROR($B42/C$2,""))</f>
        <v/>
      </c>
      <c r="D42" s="68" t="str">
        <f t="shared" si="42"/>
        <v/>
      </c>
      <c r="E42" s="68" t="str">
        <f t="shared" si="42"/>
        <v/>
      </c>
      <c r="F42" s="68" t="str">
        <f t="shared" si="42"/>
        <v/>
      </c>
      <c r="G42" s="68" t="str">
        <f t="shared" si="42"/>
        <v/>
      </c>
      <c r="H42" s="68" t="str">
        <f t="shared" si="42"/>
        <v/>
      </c>
      <c r="I42" s="68" t="str">
        <f t="shared" si="42"/>
        <v/>
      </c>
      <c r="J42" s="68" t="str">
        <f t="shared" si="42"/>
        <v/>
      </c>
      <c r="K42" s="68" t="str">
        <f t="shared" si="42"/>
        <v/>
      </c>
      <c r="L42" s="68" t="str">
        <f t="shared" si="42"/>
        <v/>
      </c>
      <c r="M42" s="68" t="str">
        <f t="shared" si="42"/>
        <v/>
      </c>
      <c r="N42" s="68" t="str">
        <f t="shared" si="42"/>
        <v/>
      </c>
      <c r="O42" s="68" t="str">
        <f t="shared" si="42"/>
        <v/>
      </c>
      <c r="P42" s="68" t="str">
        <f t="shared" si="42"/>
        <v/>
      </c>
      <c r="Q42" s="68" t="str">
        <f t="shared" si="42"/>
        <v/>
      </c>
      <c r="R42" s="68" t="str">
        <f t="shared" si="42"/>
        <v/>
      </c>
      <c r="S42" s="68" t="str">
        <f t="shared" si="42"/>
        <v/>
      </c>
      <c r="T42" s="68" t="str">
        <f t="shared" si="42"/>
        <v/>
      </c>
      <c r="U42" s="68" t="str">
        <f t="shared" si="42"/>
        <v/>
      </c>
      <c r="V42" s="68" t="str">
        <f t="shared" si="42"/>
        <v/>
      </c>
      <c r="W42" s="68" t="str">
        <f t="shared" si="42"/>
        <v/>
      </c>
      <c r="X42" s="68" t="str">
        <f t="shared" si="42"/>
        <v/>
      </c>
      <c r="Y42" s="68" t="str">
        <f t="shared" si="42"/>
        <v/>
      </c>
      <c r="Z42" s="68" t="str">
        <f t="shared" si="42"/>
        <v/>
      </c>
      <c r="AA42" s="68" t="str">
        <f t="shared" si="42"/>
        <v/>
      </c>
    </row>
    <row r="43">
      <c r="A43" s="85"/>
      <c r="B43" s="69"/>
      <c r="C43" s="68" t="str">
        <f t="shared" ref="C43:AA43" si="43">IF(ISBLANK($B43),"",IFERROR($B43/C$2,""))</f>
        <v/>
      </c>
      <c r="D43" s="68" t="str">
        <f t="shared" si="43"/>
        <v/>
      </c>
      <c r="E43" s="68" t="str">
        <f t="shared" si="43"/>
        <v/>
      </c>
      <c r="F43" s="68" t="str">
        <f t="shared" si="43"/>
        <v/>
      </c>
      <c r="G43" s="68" t="str">
        <f t="shared" si="43"/>
        <v/>
      </c>
      <c r="H43" s="68" t="str">
        <f t="shared" si="43"/>
        <v/>
      </c>
      <c r="I43" s="68" t="str">
        <f t="shared" si="43"/>
        <v/>
      </c>
      <c r="J43" s="68" t="str">
        <f t="shared" si="43"/>
        <v/>
      </c>
      <c r="K43" s="68" t="str">
        <f t="shared" si="43"/>
        <v/>
      </c>
      <c r="L43" s="68" t="str">
        <f t="shared" si="43"/>
        <v/>
      </c>
      <c r="M43" s="68" t="str">
        <f t="shared" si="43"/>
        <v/>
      </c>
      <c r="N43" s="68" t="str">
        <f t="shared" si="43"/>
        <v/>
      </c>
      <c r="O43" s="68" t="str">
        <f t="shared" si="43"/>
        <v/>
      </c>
      <c r="P43" s="68" t="str">
        <f t="shared" si="43"/>
        <v/>
      </c>
      <c r="Q43" s="68" t="str">
        <f t="shared" si="43"/>
        <v/>
      </c>
      <c r="R43" s="68" t="str">
        <f t="shared" si="43"/>
        <v/>
      </c>
      <c r="S43" s="68" t="str">
        <f t="shared" si="43"/>
        <v/>
      </c>
      <c r="T43" s="68" t="str">
        <f t="shared" si="43"/>
        <v/>
      </c>
      <c r="U43" s="68" t="str">
        <f t="shared" si="43"/>
        <v/>
      </c>
      <c r="V43" s="68" t="str">
        <f t="shared" si="43"/>
        <v/>
      </c>
      <c r="W43" s="68" t="str">
        <f t="shared" si="43"/>
        <v/>
      </c>
      <c r="X43" s="68" t="str">
        <f t="shared" si="43"/>
        <v/>
      </c>
      <c r="Y43" s="68" t="str">
        <f t="shared" si="43"/>
        <v/>
      </c>
      <c r="Z43" s="68" t="str">
        <f t="shared" si="43"/>
        <v/>
      </c>
      <c r="AA43" s="68" t="str">
        <f t="shared" si="43"/>
        <v/>
      </c>
    </row>
    <row r="44">
      <c r="A44" s="85"/>
      <c r="B44" s="69"/>
      <c r="C44" s="68" t="str">
        <f t="shared" ref="C44:AA44" si="44">IF(ISBLANK($B44),"",IFERROR($B44/C$2,""))</f>
        <v/>
      </c>
      <c r="D44" s="68" t="str">
        <f t="shared" si="44"/>
        <v/>
      </c>
      <c r="E44" s="68" t="str">
        <f t="shared" si="44"/>
        <v/>
      </c>
      <c r="F44" s="68" t="str">
        <f t="shared" si="44"/>
        <v/>
      </c>
      <c r="G44" s="68" t="str">
        <f t="shared" si="44"/>
        <v/>
      </c>
      <c r="H44" s="68" t="str">
        <f t="shared" si="44"/>
        <v/>
      </c>
      <c r="I44" s="68" t="str">
        <f t="shared" si="44"/>
        <v/>
      </c>
      <c r="J44" s="68" t="str">
        <f t="shared" si="44"/>
        <v/>
      </c>
      <c r="K44" s="68" t="str">
        <f t="shared" si="44"/>
        <v/>
      </c>
      <c r="L44" s="68" t="str">
        <f t="shared" si="44"/>
        <v/>
      </c>
      <c r="M44" s="68" t="str">
        <f t="shared" si="44"/>
        <v/>
      </c>
      <c r="N44" s="68" t="str">
        <f t="shared" si="44"/>
        <v/>
      </c>
      <c r="O44" s="68" t="str">
        <f t="shared" si="44"/>
        <v/>
      </c>
      <c r="P44" s="68" t="str">
        <f t="shared" si="44"/>
        <v/>
      </c>
      <c r="Q44" s="68" t="str">
        <f t="shared" si="44"/>
        <v/>
      </c>
      <c r="R44" s="68" t="str">
        <f t="shared" si="44"/>
        <v/>
      </c>
      <c r="S44" s="68" t="str">
        <f t="shared" si="44"/>
        <v/>
      </c>
      <c r="T44" s="68" t="str">
        <f t="shared" si="44"/>
        <v/>
      </c>
      <c r="U44" s="68" t="str">
        <f t="shared" si="44"/>
        <v/>
      </c>
      <c r="V44" s="68" t="str">
        <f t="shared" si="44"/>
        <v/>
      </c>
      <c r="W44" s="68" t="str">
        <f t="shared" si="44"/>
        <v/>
      </c>
      <c r="X44" s="68" t="str">
        <f t="shared" si="44"/>
        <v/>
      </c>
      <c r="Y44" s="68" t="str">
        <f t="shared" si="44"/>
        <v/>
      </c>
      <c r="Z44" s="68" t="str">
        <f t="shared" si="44"/>
        <v/>
      </c>
      <c r="AA44" s="68" t="str">
        <f t="shared" si="44"/>
        <v/>
      </c>
    </row>
    <row r="45">
      <c r="A45" s="85"/>
      <c r="B45" s="69"/>
      <c r="C45" s="68" t="str">
        <f t="shared" ref="C45:AA45" si="45">IF(ISBLANK($B45),"",IFERROR($B45/C$2,""))</f>
        <v/>
      </c>
      <c r="D45" s="68" t="str">
        <f t="shared" si="45"/>
        <v/>
      </c>
      <c r="E45" s="68" t="str">
        <f t="shared" si="45"/>
        <v/>
      </c>
      <c r="F45" s="68" t="str">
        <f t="shared" si="45"/>
        <v/>
      </c>
      <c r="G45" s="68" t="str">
        <f t="shared" si="45"/>
        <v/>
      </c>
      <c r="H45" s="68" t="str">
        <f t="shared" si="45"/>
        <v/>
      </c>
      <c r="I45" s="68" t="str">
        <f t="shared" si="45"/>
        <v/>
      </c>
      <c r="J45" s="68" t="str">
        <f t="shared" si="45"/>
        <v/>
      </c>
      <c r="K45" s="68" t="str">
        <f t="shared" si="45"/>
        <v/>
      </c>
      <c r="L45" s="68" t="str">
        <f t="shared" si="45"/>
        <v/>
      </c>
      <c r="M45" s="68" t="str">
        <f t="shared" si="45"/>
        <v/>
      </c>
      <c r="N45" s="68" t="str">
        <f t="shared" si="45"/>
        <v/>
      </c>
      <c r="O45" s="68" t="str">
        <f t="shared" si="45"/>
        <v/>
      </c>
      <c r="P45" s="68" t="str">
        <f t="shared" si="45"/>
        <v/>
      </c>
      <c r="Q45" s="68" t="str">
        <f t="shared" si="45"/>
        <v/>
      </c>
      <c r="R45" s="68" t="str">
        <f t="shared" si="45"/>
        <v/>
      </c>
      <c r="S45" s="68" t="str">
        <f t="shared" si="45"/>
        <v/>
      </c>
      <c r="T45" s="68" t="str">
        <f t="shared" si="45"/>
        <v/>
      </c>
      <c r="U45" s="68" t="str">
        <f t="shared" si="45"/>
        <v/>
      </c>
      <c r="V45" s="68" t="str">
        <f t="shared" si="45"/>
        <v/>
      </c>
      <c r="W45" s="68" t="str">
        <f t="shared" si="45"/>
        <v/>
      </c>
      <c r="X45" s="68" t="str">
        <f t="shared" si="45"/>
        <v/>
      </c>
      <c r="Y45" s="68" t="str">
        <f t="shared" si="45"/>
        <v/>
      </c>
      <c r="Z45" s="68" t="str">
        <f t="shared" si="45"/>
        <v/>
      </c>
      <c r="AA45" s="68" t="str">
        <f t="shared" si="45"/>
        <v/>
      </c>
    </row>
    <row r="46">
      <c r="A46" s="85"/>
      <c r="B46" s="69"/>
      <c r="C46" s="68" t="str">
        <f t="shared" ref="C46:AA46" si="46">IF(ISBLANK($B46),"",IFERROR($B46/C$2,""))</f>
        <v/>
      </c>
      <c r="D46" s="68" t="str">
        <f t="shared" si="46"/>
        <v/>
      </c>
      <c r="E46" s="68" t="str">
        <f t="shared" si="46"/>
        <v/>
      </c>
      <c r="F46" s="68" t="str">
        <f t="shared" si="46"/>
        <v/>
      </c>
      <c r="G46" s="68" t="str">
        <f t="shared" si="46"/>
        <v/>
      </c>
      <c r="H46" s="68" t="str">
        <f t="shared" si="46"/>
        <v/>
      </c>
      <c r="I46" s="68" t="str">
        <f t="shared" si="46"/>
        <v/>
      </c>
      <c r="J46" s="68" t="str">
        <f t="shared" si="46"/>
        <v/>
      </c>
      <c r="K46" s="68" t="str">
        <f t="shared" si="46"/>
        <v/>
      </c>
      <c r="L46" s="68" t="str">
        <f t="shared" si="46"/>
        <v/>
      </c>
      <c r="M46" s="68" t="str">
        <f t="shared" si="46"/>
        <v/>
      </c>
      <c r="N46" s="68" t="str">
        <f t="shared" si="46"/>
        <v/>
      </c>
      <c r="O46" s="68" t="str">
        <f t="shared" si="46"/>
        <v/>
      </c>
      <c r="P46" s="68" t="str">
        <f t="shared" si="46"/>
        <v/>
      </c>
      <c r="Q46" s="68" t="str">
        <f t="shared" si="46"/>
        <v/>
      </c>
      <c r="R46" s="68" t="str">
        <f t="shared" si="46"/>
        <v/>
      </c>
      <c r="S46" s="68" t="str">
        <f t="shared" si="46"/>
        <v/>
      </c>
      <c r="T46" s="68" t="str">
        <f t="shared" si="46"/>
        <v/>
      </c>
      <c r="U46" s="68" t="str">
        <f t="shared" si="46"/>
        <v/>
      </c>
      <c r="V46" s="68" t="str">
        <f t="shared" si="46"/>
        <v/>
      </c>
      <c r="W46" s="68" t="str">
        <f t="shared" si="46"/>
        <v/>
      </c>
      <c r="X46" s="68" t="str">
        <f t="shared" si="46"/>
        <v/>
      </c>
      <c r="Y46" s="68" t="str">
        <f t="shared" si="46"/>
        <v/>
      </c>
      <c r="Z46" s="68" t="str">
        <f t="shared" si="46"/>
        <v/>
      </c>
      <c r="AA46" s="68" t="str">
        <f t="shared" si="46"/>
        <v/>
      </c>
    </row>
    <row r="47">
      <c r="A47" s="85"/>
      <c r="B47" s="69"/>
      <c r="C47" s="68" t="str">
        <f t="shared" ref="C47:AA47" si="47">IF(ISBLANK($B47),"",IFERROR($B47/C$2,""))</f>
        <v/>
      </c>
      <c r="D47" s="68" t="str">
        <f t="shared" si="47"/>
        <v/>
      </c>
      <c r="E47" s="68" t="str">
        <f t="shared" si="47"/>
        <v/>
      </c>
      <c r="F47" s="68" t="str">
        <f t="shared" si="47"/>
        <v/>
      </c>
      <c r="G47" s="68" t="str">
        <f t="shared" si="47"/>
        <v/>
      </c>
      <c r="H47" s="68" t="str">
        <f t="shared" si="47"/>
        <v/>
      </c>
      <c r="I47" s="68" t="str">
        <f t="shared" si="47"/>
        <v/>
      </c>
      <c r="J47" s="68" t="str">
        <f t="shared" si="47"/>
        <v/>
      </c>
      <c r="K47" s="68" t="str">
        <f t="shared" si="47"/>
        <v/>
      </c>
      <c r="L47" s="68" t="str">
        <f t="shared" si="47"/>
        <v/>
      </c>
      <c r="M47" s="68" t="str">
        <f t="shared" si="47"/>
        <v/>
      </c>
      <c r="N47" s="68" t="str">
        <f t="shared" si="47"/>
        <v/>
      </c>
      <c r="O47" s="68" t="str">
        <f t="shared" si="47"/>
        <v/>
      </c>
      <c r="P47" s="68" t="str">
        <f t="shared" si="47"/>
        <v/>
      </c>
      <c r="Q47" s="68" t="str">
        <f t="shared" si="47"/>
        <v/>
      </c>
      <c r="R47" s="68" t="str">
        <f t="shared" si="47"/>
        <v/>
      </c>
      <c r="S47" s="68" t="str">
        <f t="shared" si="47"/>
        <v/>
      </c>
      <c r="T47" s="68" t="str">
        <f t="shared" si="47"/>
        <v/>
      </c>
      <c r="U47" s="68" t="str">
        <f t="shared" si="47"/>
        <v/>
      </c>
      <c r="V47" s="68" t="str">
        <f t="shared" si="47"/>
        <v/>
      </c>
      <c r="W47" s="68" t="str">
        <f t="shared" si="47"/>
        <v/>
      </c>
      <c r="X47" s="68" t="str">
        <f t="shared" si="47"/>
        <v/>
      </c>
      <c r="Y47" s="68" t="str">
        <f t="shared" si="47"/>
        <v/>
      </c>
      <c r="Z47" s="68" t="str">
        <f t="shared" si="47"/>
        <v/>
      </c>
      <c r="AA47" s="68" t="str">
        <f t="shared" si="47"/>
        <v/>
      </c>
    </row>
    <row r="48">
      <c r="A48" s="85"/>
      <c r="B48" s="69"/>
      <c r="C48" s="68" t="str">
        <f t="shared" ref="C48:AA48" si="48">IF(ISBLANK($B48),"",IFERROR($B48/C$2,""))</f>
        <v/>
      </c>
      <c r="D48" s="68" t="str">
        <f t="shared" si="48"/>
        <v/>
      </c>
      <c r="E48" s="68" t="str">
        <f t="shared" si="48"/>
        <v/>
      </c>
      <c r="F48" s="68" t="str">
        <f t="shared" si="48"/>
        <v/>
      </c>
      <c r="G48" s="68" t="str">
        <f t="shared" si="48"/>
        <v/>
      </c>
      <c r="H48" s="68" t="str">
        <f t="shared" si="48"/>
        <v/>
      </c>
      <c r="I48" s="68" t="str">
        <f t="shared" si="48"/>
        <v/>
      </c>
      <c r="J48" s="68" t="str">
        <f t="shared" si="48"/>
        <v/>
      </c>
      <c r="K48" s="68" t="str">
        <f t="shared" si="48"/>
        <v/>
      </c>
      <c r="L48" s="68" t="str">
        <f t="shared" si="48"/>
        <v/>
      </c>
      <c r="M48" s="68" t="str">
        <f t="shared" si="48"/>
        <v/>
      </c>
      <c r="N48" s="68" t="str">
        <f t="shared" si="48"/>
        <v/>
      </c>
      <c r="O48" s="68" t="str">
        <f t="shared" si="48"/>
        <v/>
      </c>
      <c r="P48" s="68" t="str">
        <f t="shared" si="48"/>
        <v/>
      </c>
      <c r="Q48" s="68" t="str">
        <f t="shared" si="48"/>
        <v/>
      </c>
      <c r="R48" s="68" t="str">
        <f t="shared" si="48"/>
        <v/>
      </c>
      <c r="S48" s="68" t="str">
        <f t="shared" si="48"/>
        <v/>
      </c>
      <c r="T48" s="68" t="str">
        <f t="shared" si="48"/>
        <v/>
      </c>
      <c r="U48" s="68" t="str">
        <f t="shared" si="48"/>
        <v/>
      </c>
      <c r="V48" s="68" t="str">
        <f t="shared" si="48"/>
        <v/>
      </c>
      <c r="W48" s="68" t="str">
        <f t="shared" si="48"/>
        <v/>
      </c>
      <c r="X48" s="68" t="str">
        <f t="shared" si="48"/>
        <v/>
      </c>
      <c r="Y48" s="68" t="str">
        <f t="shared" si="48"/>
        <v/>
      </c>
      <c r="Z48" s="68" t="str">
        <f t="shared" si="48"/>
        <v/>
      </c>
      <c r="AA48" s="68" t="str">
        <f t="shared" si="48"/>
        <v/>
      </c>
    </row>
    <row r="49">
      <c r="A49" s="85"/>
      <c r="B49" s="69"/>
      <c r="C49" s="68" t="str">
        <f t="shared" ref="C49:AA49" si="49">IF(ISBLANK($B49),"",IFERROR($B49/C$2,""))</f>
        <v/>
      </c>
      <c r="D49" s="68" t="str">
        <f t="shared" si="49"/>
        <v/>
      </c>
      <c r="E49" s="68" t="str">
        <f t="shared" si="49"/>
        <v/>
      </c>
      <c r="F49" s="68" t="str">
        <f t="shared" si="49"/>
        <v/>
      </c>
      <c r="G49" s="68" t="str">
        <f t="shared" si="49"/>
        <v/>
      </c>
      <c r="H49" s="68" t="str">
        <f t="shared" si="49"/>
        <v/>
      </c>
      <c r="I49" s="68" t="str">
        <f t="shared" si="49"/>
        <v/>
      </c>
      <c r="J49" s="68" t="str">
        <f t="shared" si="49"/>
        <v/>
      </c>
      <c r="K49" s="68" t="str">
        <f t="shared" si="49"/>
        <v/>
      </c>
      <c r="L49" s="68" t="str">
        <f t="shared" si="49"/>
        <v/>
      </c>
      <c r="M49" s="68" t="str">
        <f t="shared" si="49"/>
        <v/>
      </c>
      <c r="N49" s="68" t="str">
        <f t="shared" si="49"/>
        <v/>
      </c>
      <c r="O49" s="68" t="str">
        <f t="shared" si="49"/>
        <v/>
      </c>
      <c r="P49" s="68" t="str">
        <f t="shared" si="49"/>
        <v/>
      </c>
      <c r="Q49" s="68" t="str">
        <f t="shared" si="49"/>
        <v/>
      </c>
      <c r="R49" s="68" t="str">
        <f t="shared" si="49"/>
        <v/>
      </c>
      <c r="S49" s="68" t="str">
        <f t="shared" si="49"/>
        <v/>
      </c>
      <c r="T49" s="68" t="str">
        <f t="shared" si="49"/>
        <v/>
      </c>
      <c r="U49" s="68" t="str">
        <f t="shared" si="49"/>
        <v/>
      </c>
      <c r="V49" s="68" t="str">
        <f t="shared" si="49"/>
        <v/>
      </c>
      <c r="W49" s="68" t="str">
        <f t="shared" si="49"/>
        <v/>
      </c>
      <c r="X49" s="68" t="str">
        <f t="shared" si="49"/>
        <v/>
      </c>
      <c r="Y49" s="68" t="str">
        <f t="shared" si="49"/>
        <v/>
      </c>
      <c r="Z49" s="68" t="str">
        <f t="shared" si="49"/>
        <v/>
      </c>
      <c r="AA49" s="68" t="str">
        <f t="shared" si="49"/>
        <v/>
      </c>
    </row>
    <row r="50">
      <c r="A50" s="85"/>
      <c r="B50" s="69"/>
      <c r="C50" s="68" t="str">
        <f t="shared" ref="C50:AA50" si="50">IF(ISBLANK($B50),"",IFERROR($B50/C$2,""))</f>
        <v/>
      </c>
      <c r="D50" s="68" t="str">
        <f t="shared" si="50"/>
        <v/>
      </c>
      <c r="E50" s="68" t="str">
        <f t="shared" si="50"/>
        <v/>
      </c>
      <c r="F50" s="68" t="str">
        <f t="shared" si="50"/>
        <v/>
      </c>
      <c r="G50" s="68" t="str">
        <f t="shared" si="50"/>
        <v/>
      </c>
      <c r="H50" s="68" t="str">
        <f t="shared" si="50"/>
        <v/>
      </c>
      <c r="I50" s="68" t="str">
        <f t="shared" si="50"/>
        <v/>
      </c>
      <c r="J50" s="68" t="str">
        <f t="shared" si="50"/>
        <v/>
      </c>
      <c r="K50" s="68" t="str">
        <f t="shared" si="50"/>
        <v/>
      </c>
      <c r="L50" s="68" t="str">
        <f t="shared" si="50"/>
        <v/>
      </c>
      <c r="M50" s="68" t="str">
        <f t="shared" si="50"/>
        <v/>
      </c>
      <c r="N50" s="68" t="str">
        <f t="shared" si="50"/>
        <v/>
      </c>
      <c r="O50" s="68" t="str">
        <f t="shared" si="50"/>
        <v/>
      </c>
      <c r="P50" s="68" t="str">
        <f t="shared" si="50"/>
        <v/>
      </c>
      <c r="Q50" s="68" t="str">
        <f t="shared" si="50"/>
        <v/>
      </c>
      <c r="R50" s="68" t="str">
        <f t="shared" si="50"/>
        <v/>
      </c>
      <c r="S50" s="68" t="str">
        <f t="shared" si="50"/>
        <v/>
      </c>
      <c r="T50" s="68" t="str">
        <f t="shared" si="50"/>
        <v/>
      </c>
      <c r="U50" s="68" t="str">
        <f t="shared" si="50"/>
        <v/>
      </c>
      <c r="V50" s="68" t="str">
        <f t="shared" si="50"/>
        <v/>
      </c>
      <c r="W50" s="68" t="str">
        <f t="shared" si="50"/>
        <v/>
      </c>
      <c r="X50" s="68" t="str">
        <f t="shared" si="50"/>
        <v/>
      </c>
      <c r="Y50" s="68" t="str">
        <f t="shared" si="50"/>
        <v/>
      </c>
      <c r="Z50" s="68" t="str">
        <f t="shared" si="50"/>
        <v/>
      </c>
      <c r="AA50" s="68" t="str">
        <f t="shared" si="50"/>
        <v/>
      </c>
    </row>
    <row r="51">
      <c r="A51" s="85"/>
      <c r="B51" s="69"/>
      <c r="C51" s="68" t="str">
        <f t="shared" ref="C51:AA51" si="51">IF(ISBLANK($B51),"",IFERROR($B51/C$2,""))</f>
        <v/>
      </c>
      <c r="D51" s="68" t="str">
        <f t="shared" si="51"/>
        <v/>
      </c>
      <c r="E51" s="68" t="str">
        <f t="shared" si="51"/>
        <v/>
      </c>
      <c r="F51" s="68" t="str">
        <f t="shared" si="51"/>
        <v/>
      </c>
      <c r="G51" s="68" t="str">
        <f t="shared" si="51"/>
        <v/>
      </c>
      <c r="H51" s="68" t="str">
        <f t="shared" si="51"/>
        <v/>
      </c>
      <c r="I51" s="68" t="str">
        <f t="shared" si="51"/>
        <v/>
      </c>
      <c r="J51" s="68" t="str">
        <f t="shared" si="51"/>
        <v/>
      </c>
      <c r="K51" s="68" t="str">
        <f t="shared" si="51"/>
        <v/>
      </c>
      <c r="L51" s="68" t="str">
        <f t="shared" si="51"/>
        <v/>
      </c>
      <c r="M51" s="68" t="str">
        <f t="shared" si="51"/>
        <v/>
      </c>
      <c r="N51" s="68" t="str">
        <f t="shared" si="51"/>
        <v/>
      </c>
      <c r="O51" s="68" t="str">
        <f t="shared" si="51"/>
        <v/>
      </c>
      <c r="P51" s="68" t="str">
        <f t="shared" si="51"/>
        <v/>
      </c>
      <c r="Q51" s="68" t="str">
        <f t="shared" si="51"/>
        <v/>
      </c>
      <c r="R51" s="68" t="str">
        <f t="shared" si="51"/>
        <v/>
      </c>
      <c r="S51" s="68" t="str">
        <f t="shared" si="51"/>
        <v/>
      </c>
      <c r="T51" s="68" t="str">
        <f t="shared" si="51"/>
        <v/>
      </c>
      <c r="U51" s="68" t="str">
        <f t="shared" si="51"/>
        <v/>
      </c>
      <c r="V51" s="68" t="str">
        <f t="shared" si="51"/>
        <v/>
      </c>
      <c r="W51" s="68" t="str">
        <f t="shared" si="51"/>
        <v/>
      </c>
      <c r="X51" s="68" t="str">
        <f t="shared" si="51"/>
        <v/>
      </c>
      <c r="Y51" s="68" t="str">
        <f t="shared" si="51"/>
        <v/>
      </c>
      <c r="Z51" s="68" t="str">
        <f t="shared" si="51"/>
        <v/>
      </c>
      <c r="AA51" s="68" t="str">
        <f t="shared" si="51"/>
        <v/>
      </c>
    </row>
    <row r="52">
      <c r="A52" s="85"/>
      <c r="B52" s="69"/>
      <c r="C52" s="68" t="str">
        <f t="shared" ref="C52:AA52" si="52">IF(ISBLANK($B52),"",IFERROR($B52/C$2,""))</f>
        <v/>
      </c>
      <c r="D52" s="68" t="str">
        <f t="shared" si="52"/>
        <v/>
      </c>
      <c r="E52" s="68" t="str">
        <f t="shared" si="52"/>
        <v/>
      </c>
      <c r="F52" s="68" t="str">
        <f t="shared" si="52"/>
        <v/>
      </c>
      <c r="G52" s="68" t="str">
        <f t="shared" si="52"/>
        <v/>
      </c>
      <c r="H52" s="68" t="str">
        <f t="shared" si="52"/>
        <v/>
      </c>
      <c r="I52" s="68" t="str">
        <f t="shared" si="52"/>
        <v/>
      </c>
      <c r="J52" s="68" t="str">
        <f t="shared" si="52"/>
        <v/>
      </c>
      <c r="K52" s="68" t="str">
        <f t="shared" si="52"/>
        <v/>
      </c>
      <c r="L52" s="68" t="str">
        <f t="shared" si="52"/>
        <v/>
      </c>
      <c r="M52" s="68" t="str">
        <f t="shared" si="52"/>
        <v/>
      </c>
      <c r="N52" s="68" t="str">
        <f t="shared" si="52"/>
        <v/>
      </c>
      <c r="O52" s="68" t="str">
        <f t="shared" si="52"/>
        <v/>
      </c>
      <c r="P52" s="68" t="str">
        <f t="shared" si="52"/>
        <v/>
      </c>
      <c r="Q52" s="68" t="str">
        <f t="shared" si="52"/>
        <v/>
      </c>
      <c r="R52" s="68" t="str">
        <f t="shared" si="52"/>
        <v/>
      </c>
      <c r="S52" s="68" t="str">
        <f t="shared" si="52"/>
        <v/>
      </c>
      <c r="T52" s="68" t="str">
        <f t="shared" si="52"/>
        <v/>
      </c>
      <c r="U52" s="68" t="str">
        <f t="shared" si="52"/>
        <v/>
      </c>
      <c r="V52" s="68" t="str">
        <f t="shared" si="52"/>
        <v/>
      </c>
      <c r="W52" s="68" t="str">
        <f t="shared" si="52"/>
        <v/>
      </c>
      <c r="X52" s="68" t="str">
        <f t="shared" si="52"/>
        <v/>
      </c>
      <c r="Y52" s="68" t="str">
        <f t="shared" si="52"/>
        <v/>
      </c>
      <c r="Z52" s="68" t="str">
        <f t="shared" si="52"/>
        <v/>
      </c>
      <c r="AA52" s="68" t="str">
        <f t="shared" si="52"/>
        <v/>
      </c>
    </row>
    <row r="53">
      <c r="A53" s="85"/>
      <c r="B53" s="69"/>
      <c r="C53" s="68" t="str">
        <f t="shared" ref="C53:AA53" si="53">IF(ISBLANK($B53),"",IFERROR($B53/C$2,""))</f>
        <v/>
      </c>
      <c r="D53" s="68" t="str">
        <f t="shared" si="53"/>
        <v/>
      </c>
      <c r="E53" s="68" t="str">
        <f t="shared" si="53"/>
        <v/>
      </c>
      <c r="F53" s="68" t="str">
        <f t="shared" si="53"/>
        <v/>
      </c>
      <c r="G53" s="68" t="str">
        <f t="shared" si="53"/>
        <v/>
      </c>
      <c r="H53" s="68" t="str">
        <f t="shared" si="53"/>
        <v/>
      </c>
      <c r="I53" s="68" t="str">
        <f t="shared" si="53"/>
        <v/>
      </c>
      <c r="J53" s="68" t="str">
        <f t="shared" si="53"/>
        <v/>
      </c>
      <c r="K53" s="68" t="str">
        <f t="shared" si="53"/>
        <v/>
      </c>
      <c r="L53" s="68" t="str">
        <f t="shared" si="53"/>
        <v/>
      </c>
      <c r="M53" s="68" t="str">
        <f t="shared" si="53"/>
        <v/>
      </c>
      <c r="N53" s="68" t="str">
        <f t="shared" si="53"/>
        <v/>
      </c>
      <c r="O53" s="68" t="str">
        <f t="shared" si="53"/>
        <v/>
      </c>
      <c r="P53" s="68" t="str">
        <f t="shared" si="53"/>
        <v/>
      </c>
      <c r="Q53" s="68" t="str">
        <f t="shared" si="53"/>
        <v/>
      </c>
      <c r="R53" s="68" t="str">
        <f t="shared" si="53"/>
        <v/>
      </c>
      <c r="S53" s="68" t="str">
        <f t="shared" si="53"/>
        <v/>
      </c>
      <c r="T53" s="68" t="str">
        <f t="shared" si="53"/>
        <v/>
      </c>
      <c r="U53" s="68" t="str">
        <f t="shared" si="53"/>
        <v/>
      </c>
      <c r="V53" s="68" t="str">
        <f t="shared" si="53"/>
        <v/>
      </c>
      <c r="W53" s="68" t="str">
        <f t="shared" si="53"/>
        <v/>
      </c>
      <c r="X53" s="68" t="str">
        <f t="shared" si="53"/>
        <v/>
      </c>
      <c r="Y53" s="68" t="str">
        <f t="shared" si="53"/>
        <v/>
      </c>
      <c r="Z53" s="68" t="str">
        <f t="shared" si="53"/>
        <v/>
      </c>
      <c r="AA53" s="68" t="str">
        <f t="shared" si="53"/>
        <v/>
      </c>
    </row>
    <row r="54">
      <c r="A54" s="85"/>
      <c r="B54" s="69"/>
      <c r="C54" s="68" t="str">
        <f t="shared" ref="C54:AA54" si="54">IF(ISBLANK($B54),"",IFERROR($B54/C$2,""))</f>
        <v/>
      </c>
      <c r="D54" s="68" t="str">
        <f t="shared" si="54"/>
        <v/>
      </c>
      <c r="E54" s="68" t="str">
        <f t="shared" si="54"/>
        <v/>
      </c>
      <c r="F54" s="68" t="str">
        <f t="shared" si="54"/>
        <v/>
      </c>
      <c r="G54" s="68" t="str">
        <f t="shared" si="54"/>
        <v/>
      </c>
      <c r="H54" s="68" t="str">
        <f t="shared" si="54"/>
        <v/>
      </c>
      <c r="I54" s="68" t="str">
        <f t="shared" si="54"/>
        <v/>
      </c>
      <c r="J54" s="68" t="str">
        <f t="shared" si="54"/>
        <v/>
      </c>
      <c r="K54" s="68" t="str">
        <f t="shared" si="54"/>
        <v/>
      </c>
      <c r="L54" s="68" t="str">
        <f t="shared" si="54"/>
        <v/>
      </c>
      <c r="M54" s="68" t="str">
        <f t="shared" si="54"/>
        <v/>
      </c>
      <c r="N54" s="68" t="str">
        <f t="shared" si="54"/>
        <v/>
      </c>
      <c r="O54" s="68" t="str">
        <f t="shared" si="54"/>
        <v/>
      </c>
      <c r="P54" s="68" t="str">
        <f t="shared" si="54"/>
        <v/>
      </c>
      <c r="Q54" s="68" t="str">
        <f t="shared" si="54"/>
        <v/>
      </c>
      <c r="R54" s="68" t="str">
        <f t="shared" si="54"/>
        <v/>
      </c>
      <c r="S54" s="68" t="str">
        <f t="shared" si="54"/>
        <v/>
      </c>
      <c r="T54" s="68" t="str">
        <f t="shared" si="54"/>
        <v/>
      </c>
      <c r="U54" s="68" t="str">
        <f t="shared" si="54"/>
        <v/>
      </c>
      <c r="V54" s="68" t="str">
        <f t="shared" si="54"/>
        <v/>
      </c>
      <c r="W54" s="68" t="str">
        <f t="shared" si="54"/>
        <v/>
      </c>
      <c r="X54" s="68" t="str">
        <f t="shared" si="54"/>
        <v/>
      </c>
      <c r="Y54" s="68" t="str">
        <f t="shared" si="54"/>
        <v/>
      </c>
      <c r="Z54" s="68" t="str">
        <f t="shared" si="54"/>
        <v/>
      </c>
      <c r="AA54" s="68" t="str">
        <f t="shared" si="54"/>
        <v/>
      </c>
    </row>
    <row r="55">
      <c r="A55" s="85"/>
      <c r="B55" s="69"/>
      <c r="C55" s="68" t="str">
        <f t="shared" ref="C55:AA55" si="55">IF(ISBLANK($B55),"",IFERROR($B55/C$2,""))</f>
        <v/>
      </c>
      <c r="D55" s="68" t="str">
        <f t="shared" si="55"/>
        <v/>
      </c>
      <c r="E55" s="68" t="str">
        <f t="shared" si="55"/>
        <v/>
      </c>
      <c r="F55" s="68" t="str">
        <f t="shared" si="55"/>
        <v/>
      </c>
      <c r="G55" s="68" t="str">
        <f t="shared" si="55"/>
        <v/>
      </c>
      <c r="H55" s="68" t="str">
        <f t="shared" si="55"/>
        <v/>
      </c>
      <c r="I55" s="68" t="str">
        <f t="shared" si="55"/>
        <v/>
      </c>
      <c r="J55" s="68" t="str">
        <f t="shared" si="55"/>
        <v/>
      </c>
      <c r="K55" s="68" t="str">
        <f t="shared" si="55"/>
        <v/>
      </c>
      <c r="L55" s="68" t="str">
        <f t="shared" si="55"/>
        <v/>
      </c>
      <c r="M55" s="68" t="str">
        <f t="shared" si="55"/>
        <v/>
      </c>
      <c r="N55" s="68" t="str">
        <f t="shared" si="55"/>
        <v/>
      </c>
      <c r="O55" s="68" t="str">
        <f t="shared" si="55"/>
        <v/>
      </c>
      <c r="P55" s="68" t="str">
        <f t="shared" si="55"/>
        <v/>
      </c>
      <c r="Q55" s="68" t="str">
        <f t="shared" si="55"/>
        <v/>
      </c>
      <c r="R55" s="68" t="str">
        <f t="shared" si="55"/>
        <v/>
      </c>
      <c r="S55" s="68" t="str">
        <f t="shared" si="55"/>
        <v/>
      </c>
      <c r="T55" s="68" t="str">
        <f t="shared" si="55"/>
        <v/>
      </c>
      <c r="U55" s="68" t="str">
        <f t="shared" si="55"/>
        <v/>
      </c>
      <c r="V55" s="68" t="str">
        <f t="shared" si="55"/>
        <v/>
      </c>
      <c r="W55" s="68" t="str">
        <f t="shared" si="55"/>
        <v/>
      </c>
      <c r="X55" s="68" t="str">
        <f t="shared" si="55"/>
        <v/>
      </c>
      <c r="Y55" s="68" t="str">
        <f t="shared" si="55"/>
        <v/>
      </c>
      <c r="Z55" s="68" t="str">
        <f t="shared" si="55"/>
        <v/>
      </c>
      <c r="AA55" s="68" t="str">
        <f t="shared" si="55"/>
        <v/>
      </c>
    </row>
    <row r="56">
      <c r="A56" s="85"/>
      <c r="B56" s="69"/>
      <c r="C56" s="68" t="str">
        <f t="shared" ref="C56:AA56" si="56">IF(ISBLANK($B56),"",IFERROR($B56/C$2,""))</f>
        <v/>
      </c>
      <c r="D56" s="68" t="str">
        <f t="shared" si="56"/>
        <v/>
      </c>
      <c r="E56" s="68" t="str">
        <f t="shared" si="56"/>
        <v/>
      </c>
      <c r="F56" s="68" t="str">
        <f t="shared" si="56"/>
        <v/>
      </c>
      <c r="G56" s="68" t="str">
        <f t="shared" si="56"/>
        <v/>
      </c>
      <c r="H56" s="68" t="str">
        <f t="shared" si="56"/>
        <v/>
      </c>
      <c r="I56" s="68" t="str">
        <f t="shared" si="56"/>
        <v/>
      </c>
      <c r="J56" s="68" t="str">
        <f t="shared" si="56"/>
        <v/>
      </c>
      <c r="K56" s="68" t="str">
        <f t="shared" si="56"/>
        <v/>
      </c>
      <c r="L56" s="68" t="str">
        <f t="shared" si="56"/>
        <v/>
      </c>
      <c r="M56" s="68" t="str">
        <f t="shared" si="56"/>
        <v/>
      </c>
      <c r="N56" s="68" t="str">
        <f t="shared" si="56"/>
        <v/>
      </c>
      <c r="O56" s="68" t="str">
        <f t="shared" si="56"/>
        <v/>
      </c>
      <c r="P56" s="68" t="str">
        <f t="shared" si="56"/>
        <v/>
      </c>
      <c r="Q56" s="68" t="str">
        <f t="shared" si="56"/>
        <v/>
      </c>
      <c r="R56" s="68" t="str">
        <f t="shared" si="56"/>
        <v/>
      </c>
      <c r="S56" s="68" t="str">
        <f t="shared" si="56"/>
        <v/>
      </c>
      <c r="T56" s="68" t="str">
        <f t="shared" si="56"/>
        <v/>
      </c>
      <c r="U56" s="68" t="str">
        <f t="shared" si="56"/>
        <v/>
      </c>
      <c r="V56" s="68" t="str">
        <f t="shared" si="56"/>
        <v/>
      </c>
      <c r="W56" s="68" t="str">
        <f t="shared" si="56"/>
        <v/>
      </c>
      <c r="X56" s="68" t="str">
        <f t="shared" si="56"/>
        <v/>
      </c>
      <c r="Y56" s="68" t="str">
        <f t="shared" si="56"/>
        <v/>
      </c>
      <c r="Z56" s="68" t="str">
        <f t="shared" si="56"/>
        <v/>
      </c>
      <c r="AA56" s="68" t="str">
        <f t="shared" si="56"/>
        <v/>
      </c>
    </row>
    <row r="57">
      <c r="A57" s="85"/>
      <c r="B57" s="69"/>
      <c r="C57" s="68" t="str">
        <f t="shared" ref="C57:AA57" si="57">IF(ISBLANK($B57),"",IFERROR($B57/C$2,""))</f>
        <v/>
      </c>
      <c r="D57" s="68" t="str">
        <f t="shared" si="57"/>
        <v/>
      </c>
      <c r="E57" s="68" t="str">
        <f t="shared" si="57"/>
        <v/>
      </c>
      <c r="F57" s="68" t="str">
        <f t="shared" si="57"/>
        <v/>
      </c>
      <c r="G57" s="68" t="str">
        <f t="shared" si="57"/>
        <v/>
      </c>
      <c r="H57" s="68" t="str">
        <f t="shared" si="57"/>
        <v/>
      </c>
      <c r="I57" s="68" t="str">
        <f t="shared" si="57"/>
        <v/>
      </c>
      <c r="J57" s="68" t="str">
        <f t="shared" si="57"/>
        <v/>
      </c>
      <c r="K57" s="68" t="str">
        <f t="shared" si="57"/>
        <v/>
      </c>
      <c r="L57" s="68" t="str">
        <f t="shared" si="57"/>
        <v/>
      </c>
      <c r="M57" s="68" t="str">
        <f t="shared" si="57"/>
        <v/>
      </c>
      <c r="N57" s="68" t="str">
        <f t="shared" si="57"/>
        <v/>
      </c>
      <c r="O57" s="68" t="str">
        <f t="shared" si="57"/>
        <v/>
      </c>
      <c r="P57" s="68" t="str">
        <f t="shared" si="57"/>
        <v/>
      </c>
      <c r="Q57" s="68" t="str">
        <f t="shared" si="57"/>
        <v/>
      </c>
      <c r="R57" s="68" t="str">
        <f t="shared" si="57"/>
        <v/>
      </c>
      <c r="S57" s="68" t="str">
        <f t="shared" si="57"/>
        <v/>
      </c>
      <c r="T57" s="68" t="str">
        <f t="shared" si="57"/>
        <v/>
      </c>
      <c r="U57" s="68" t="str">
        <f t="shared" si="57"/>
        <v/>
      </c>
      <c r="V57" s="68" t="str">
        <f t="shared" si="57"/>
        <v/>
      </c>
      <c r="W57" s="68" t="str">
        <f t="shared" si="57"/>
        <v/>
      </c>
      <c r="X57" s="68" t="str">
        <f t="shared" si="57"/>
        <v/>
      </c>
      <c r="Y57" s="68" t="str">
        <f t="shared" si="57"/>
        <v/>
      </c>
      <c r="Z57" s="68" t="str">
        <f t="shared" si="57"/>
        <v/>
      </c>
      <c r="AA57" s="68" t="str">
        <f t="shared" si="57"/>
        <v/>
      </c>
    </row>
    <row r="58">
      <c r="A58" s="85"/>
      <c r="B58" s="69"/>
      <c r="C58" s="68" t="str">
        <f t="shared" ref="C58:AA58" si="58">IF(ISBLANK($B58),"",IFERROR($B58/C$2,""))</f>
        <v/>
      </c>
      <c r="D58" s="68" t="str">
        <f t="shared" si="58"/>
        <v/>
      </c>
      <c r="E58" s="68" t="str">
        <f t="shared" si="58"/>
        <v/>
      </c>
      <c r="F58" s="68" t="str">
        <f t="shared" si="58"/>
        <v/>
      </c>
      <c r="G58" s="68" t="str">
        <f t="shared" si="58"/>
        <v/>
      </c>
      <c r="H58" s="68" t="str">
        <f t="shared" si="58"/>
        <v/>
      </c>
      <c r="I58" s="68" t="str">
        <f t="shared" si="58"/>
        <v/>
      </c>
      <c r="J58" s="68" t="str">
        <f t="shared" si="58"/>
        <v/>
      </c>
      <c r="K58" s="68" t="str">
        <f t="shared" si="58"/>
        <v/>
      </c>
      <c r="L58" s="68" t="str">
        <f t="shared" si="58"/>
        <v/>
      </c>
      <c r="M58" s="68" t="str">
        <f t="shared" si="58"/>
        <v/>
      </c>
      <c r="N58" s="68" t="str">
        <f t="shared" si="58"/>
        <v/>
      </c>
      <c r="O58" s="68" t="str">
        <f t="shared" si="58"/>
        <v/>
      </c>
      <c r="P58" s="68" t="str">
        <f t="shared" si="58"/>
        <v/>
      </c>
      <c r="Q58" s="68" t="str">
        <f t="shared" si="58"/>
        <v/>
      </c>
      <c r="R58" s="68" t="str">
        <f t="shared" si="58"/>
        <v/>
      </c>
      <c r="S58" s="68" t="str">
        <f t="shared" si="58"/>
        <v/>
      </c>
      <c r="T58" s="68" t="str">
        <f t="shared" si="58"/>
        <v/>
      </c>
      <c r="U58" s="68" t="str">
        <f t="shared" si="58"/>
        <v/>
      </c>
      <c r="V58" s="68" t="str">
        <f t="shared" si="58"/>
        <v/>
      </c>
      <c r="W58" s="68" t="str">
        <f t="shared" si="58"/>
        <v/>
      </c>
      <c r="X58" s="68" t="str">
        <f t="shared" si="58"/>
        <v/>
      </c>
      <c r="Y58" s="68" t="str">
        <f t="shared" si="58"/>
        <v/>
      </c>
      <c r="Z58" s="68" t="str">
        <f t="shared" si="58"/>
        <v/>
      </c>
      <c r="AA58" s="68" t="str">
        <f t="shared" si="58"/>
        <v/>
      </c>
    </row>
    <row r="59">
      <c r="A59" s="85"/>
      <c r="B59" s="69"/>
      <c r="C59" s="68" t="str">
        <f t="shared" ref="C59:AA59" si="59">IF(ISBLANK($B59),"",IFERROR($B59/C$2,""))</f>
        <v/>
      </c>
      <c r="D59" s="68" t="str">
        <f t="shared" si="59"/>
        <v/>
      </c>
      <c r="E59" s="68" t="str">
        <f t="shared" si="59"/>
        <v/>
      </c>
      <c r="F59" s="68" t="str">
        <f t="shared" si="59"/>
        <v/>
      </c>
      <c r="G59" s="68" t="str">
        <f t="shared" si="59"/>
        <v/>
      </c>
      <c r="H59" s="68" t="str">
        <f t="shared" si="59"/>
        <v/>
      </c>
      <c r="I59" s="68" t="str">
        <f t="shared" si="59"/>
        <v/>
      </c>
      <c r="J59" s="68" t="str">
        <f t="shared" si="59"/>
        <v/>
      </c>
      <c r="K59" s="68" t="str">
        <f t="shared" si="59"/>
        <v/>
      </c>
      <c r="L59" s="68" t="str">
        <f t="shared" si="59"/>
        <v/>
      </c>
      <c r="M59" s="68" t="str">
        <f t="shared" si="59"/>
        <v/>
      </c>
      <c r="N59" s="68" t="str">
        <f t="shared" si="59"/>
        <v/>
      </c>
      <c r="O59" s="68" t="str">
        <f t="shared" si="59"/>
        <v/>
      </c>
      <c r="P59" s="68" t="str">
        <f t="shared" si="59"/>
        <v/>
      </c>
      <c r="Q59" s="68" t="str">
        <f t="shared" si="59"/>
        <v/>
      </c>
      <c r="R59" s="68" t="str">
        <f t="shared" si="59"/>
        <v/>
      </c>
      <c r="S59" s="68" t="str">
        <f t="shared" si="59"/>
        <v/>
      </c>
      <c r="T59" s="68" t="str">
        <f t="shared" si="59"/>
        <v/>
      </c>
      <c r="U59" s="68" t="str">
        <f t="shared" si="59"/>
        <v/>
      </c>
      <c r="V59" s="68" t="str">
        <f t="shared" si="59"/>
        <v/>
      </c>
      <c r="W59" s="68" t="str">
        <f t="shared" si="59"/>
        <v/>
      </c>
      <c r="X59" s="68" t="str">
        <f t="shared" si="59"/>
        <v/>
      </c>
      <c r="Y59" s="68" t="str">
        <f t="shared" si="59"/>
        <v/>
      </c>
      <c r="Z59" s="68" t="str">
        <f t="shared" si="59"/>
        <v/>
      </c>
      <c r="AA59" s="68" t="str">
        <f t="shared" si="59"/>
        <v/>
      </c>
    </row>
    <row r="60">
      <c r="A60" s="85"/>
      <c r="B60" s="69"/>
      <c r="C60" s="68" t="str">
        <f t="shared" ref="C60:AA60" si="60">IF(ISBLANK($B60),"",IFERROR($B60/C$2,""))</f>
        <v/>
      </c>
      <c r="D60" s="68" t="str">
        <f t="shared" si="60"/>
        <v/>
      </c>
      <c r="E60" s="68" t="str">
        <f t="shared" si="60"/>
        <v/>
      </c>
      <c r="F60" s="68" t="str">
        <f t="shared" si="60"/>
        <v/>
      </c>
      <c r="G60" s="68" t="str">
        <f t="shared" si="60"/>
        <v/>
      </c>
      <c r="H60" s="68" t="str">
        <f t="shared" si="60"/>
        <v/>
      </c>
      <c r="I60" s="68" t="str">
        <f t="shared" si="60"/>
        <v/>
      </c>
      <c r="J60" s="68" t="str">
        <f t="shared" si="60"/>
        <v/>
      </c>
      <c r="K60" s="68" t="str">
        <f t="shared" si="60"/>
        <v/>
      </c>
      <c r="L60" s="68" t="str">
        <f t="shared" si="60"/>
        <v/>
      </c>
      <c r="M60" s="68" t="str">
        <f t="shared" si="60"/>
        <v/>
      </c>
      <c r="N60" s="68" t="str">
        <f t="shared" si="60"/>
        <v/>
      </c>
      <c r="O60" s="68" t="str">
        <f t="shared" si="60"/>
        <v/>
      </c>
      <c r="P60" s="68" t="str">
        <f t="shared" si="60"/>
        <v/>
      </c>
      <c r="Q60" s="68" t="str">
        <f t="shared" si="60"/>
        <v/>
      </c>
      <c r="R60" s="68" t="str">
        <f t="shared" si="60"/>
        <v/>
      </c>
      <c r="S60" s="68" t="str">
        <f t="shared" si="60"/>
        <v/>
      </c>
      <c r="T60" s="68" t="str">
        <f t="shared" si="60"/>
        <v/>
      </c>
      <c r="U60" s="68" t="str">
        <f t="shared" si="60"/>
        <v/>
      </c>
      <c r="V60" s="68" t="str">
        <f t="shared" si="60"/>
        <v/>
      </c>
      <c r="W60" s="68" t="str">
        <f t="shared" si="60"/>
        <v/>
      </c>
      <c r="X60" s="68" t="str">
        <f t="shared" si="60"/>
        <v/>
      </c>
      <c r="Y60" s="68" t="str">
        <f t="shared" si="60"/>
        <v/>
      </c>
      <c r="Z60" s="68" t="str">
        <f t="shared" si="60"/>
        <v/>
      </c>
      <c r="AA60" s="68" t="str">
        <f t="shared" si="60"/>
        <v/>
      </c>
    </row>
    <row r="61">
      <c r="A61" s="85"/>
      <c r="B61" s="69"/>
      <c r="C61" s="68" t="str">
        <f t="shared" ref="C61:AA61" si="61">IF(ISBLANK($B61),"",IFERROR($B61/C$2,""))</f>
        <v/>
      </c>
      <c r="D61" s="68" t="str">
        <f t="shared" si="61"/>
        <v/>
      </c>
      <c r="E61" s="68" t="str">
        <f t="shared" si="61"/>
        <v/>
      </c>
      <c r="F61" s="68" t="str">
        <f t="shared" si="61"/>
        <v/>
      </c>
      <c r="G61" s="68" t="str">
        <f t="shared" si="61"/>
        <v/>
      </c>
      <c r="H61" s="68" t="str">
        <f t="shared" si="61"/>
        <v/>
      </c>
      <c r="I61" s="68" t="str">
        <f t="shared" si="61"/>
        <v/>
      </c>
      <c r="J61" s="68" t="str">
        <f t="shared" si="61"/>
        <v/>
      </c>
      <c r="K61" s="68" t="str">
        <f t="shared" si="61"/>
        <v/>
      </c>
      <c r="L61" s="68" t="str">
        <f t="shared" si="61"/>
        <v/>
      </c>
      <c r="M61" s="68" t="str">
        <f t="shared" si="61"/>
        <v/>
      </c>
      <c r="N61" s="68" t="str">
        <f t="shared" si="61"/>
        <v/>
      </c>
      <c r="O61" s="68" t="str">
        <f t="shared" si="61"/>
        <v/>
      </c>
      <c r="P61" s="68" t="str">
        <f t="shared" si="61"/>
        <v/>
      </c>
      <c r="Q61" s="68" t="str">
        <f t="shared" si="61"/>
        <v/>
      </c>
      <c r="R61" s="68" t="str">
        <f t="shared" si="61"/>
        <v/>
      </c>
      <c r="S61" s="68" t="str">
        <f t="shared" si="61"/>
        <v/>
      </c>
      <c r="T61" s="68" t="str">
        <f t="shared" si="61"/>
        <v/>
      </c>
      <c r="U61" s="68" t="str">
        <f t="shared" si="61"/>
        <v/>
      </c>
      <c r="V61" s="68" t="str">
        <f t="shared" si="61"/>
        <v/>
      </c>
      <c r="W61" s="68" t="str">
        <f t="shared" si="61"/>
        <v/>
      </c>
      <c r="X61" s="68" t="str">
        <f t="shared" si="61"/>
        <v/>
      </c>
      <c r="Y61" s="68" t="str">
        <f t="shared" si="61"/>
        <v/>
      </c>
      <c r="Z61" s="68" t="str">
        <f t="shared" si="61"/>
        <v/>
      </c>
      <c r="AA61" s="68" t="str">
        <f t="shared" si="61"/>
        <v/>
      </c>
    </row>
    <row r="62">
      <c r="A62" s="85"/>
      <c r="B62" s="69"/>
      <c r="C62" s="68" t="str">
        <f t="shared" ref="C62:AA62" si="62">IF(ISBLANK($B62),"",IFERROR($B62/C$2,""))</f>
        <v/>
      </c>
      <c r="D62" s="68" t="str">
        <f t="shared" si="62"/>
        <v/>
      </c>
      <c r="E62" s="68" t="str">
        <f t="shared" si="62"/>
        <v/>
      </c>
      <c r="F62" s="68" t="str">
        <f t="shared" si="62"/>
        <v/>
      </c>
      <c r="G62" s="68" t="str">
        <f t="shared" si="62"/>
        <v/>
      </c>
      <c r="H62" s="68" t="str">
        <f t="shared" si="62"/>
        <v/>
      </c>
      <c r="I62" s="68" t="str">
        <f t="shared" si="62"/>
        <v/>
      </c>
      <c r="J62" s="68" t="str">
        <f t="shared" si="62"/>
        <v/>
      </c>
      <c r="K62" s="68" t="str">
        <f t="shared" si="62"/>
        <v/>
      </c>
      <c r="L62" s="68" t="str">
        <f t="shared" si="62"/>
        <v/>
      </c>
      <c r="M62" s="68" t="str">
        <f t="shared" si="62"/>
        <v/>
      </c>
      <c r="N62" s="68" t="str">
        <f t="shared" si="62"/>
        <v/>
      </c>
      <c r="O62" s="68" t="str">
        <f t="shared" si="62"/>
        <v/>
      </c>
      <c r="P62" s="68" t="str">
        <f t="shared" si="62"/>
        <v/>
      </c>
      <c r="Q62" s="68" t="str">
        <f t="shared" si="62"/>
        <v/>
      </c>
      <c r="R62" s="68" t="str">
        <f t="shared" si="62"/>
        <v/>
      </c>
      <c r="S62" s="68" t="str">
        <f t="shared" si="62"/>
        <v/>
      </c>
      <c r="T62" s="68" t="str">
        <f t="shared" si="62"/>
        <v/>
      </c>
      <c r="U62" s="68" t="str">
        <f t="shared" si="62"/>
        <v/>
      </c>
      <c r="V62" s="68" t="str">
        <f t="shared" si="62"/>
        <v/>
      </c>
      <c r="W62" s="68" t="str">
        <f t="shared" si="62"/>
        <v/>
      </c>
      <c r="X62" s="68" t="str">
        <f t="shared" si="62"/>
        <v/>
      </c>
      <c r="Y62" s="68" t="str">
        <f t="shared" si="62"/>
        <v/>
      </c>
      <c r="Z62" s="68" t="str">
        <f t="shared" si="62"/>
        <v/>
      </c>
      <c r="AA62" s="68" t="str">
        <f t="shared" si="62"/>
        <v/>
      </c>
    </row>
    <row r="63">
      <c r="A63" s="85"/>
      <c r="B63" s="69"/>
      <c r="C63" s="68" t="str">
        <f t="shared" ref="C63:AA63" si="63">IF(ISBLANK($B63),"",IFERROR($B63/C$2,""))</f>
        <v/>
      </c>
      <c r="D63" s="68" t="str">
        <f t="shared" si="63"/>
        <v/>
      </c>
      <c r="E63" s="68" t="str">
        <f t="shared" si="63"/>
        <v/>
      </c>
      <c r="F63" s="68" t="str">
        <f t="shared" si="63"/>
        <v/>
      </c>
      <c r="G63" s="68" t="str">
        <f t="shared" si="63"/>
        <v/>
      </c>
      <c r="H63" s="68" t="str">
        <f t="shared" si="63"/>
        <v/>
      </c>
      <c r="I63" s="68" t="str">
        <f t="shared" si="63"/>
        <v/>
      </c>
      <c r="J63" s="68" t="str">
        <f t="shared" si="63"/>
        <v/>
      </c>
      <c r="K63" s="68" t="str">
        <f t="shared" si="63"/>
        <v/>
      </c>
      <c r="L63" s="68" t="str">
        <f t="shared" si="63"/>
        <v/>
      </c>
      <c r="M63" s="68" t="str">
        <f t="shared" si="63"/>
        <v/>
      </c>
      <c r="N63" s="68" t="str">
        <f t="shared" si="63"/>
        <v/>
      </c>
      <c r="O63" s="68" t="str">
        <f t="shared" si="63"/>
        <v/>
      </c>
      <c r="P63" s="68" t="str">
        <f t="shared" si="63"/>
        <v/>
      </c>
      <c r="Q63" s="68" t="str">
        <f t="shared" si="63"/>
        <v/>
      </c>
      <c r="R63" s="68" t="str">
        <f t="shared" si="63"/>
        <v/>
      </c>
      <c r="S63" s="68" t="str">
        <f t="shared" si="63"/>
        <v/>
      </c>
      <c r="T63" s="68" t="str">
        <f t="shared" si="63"/>
        <v/>
      </c>
      <c r="U63" s="68" t="str">
        <f t="shared" si="63"/>
        <v/>
      </c>
      <c r="V63" s="68" t="str">
        <f t="shared" si="63"/>
        <v/>
      </c>
      <c r="W63" s="68" t="str">
        <f t="shared" si="63"/>
        <v/>
      </c>
      <c r="X63" s="68" t="str">
        <f t="shared" si="63"/>
        <v/>
      </c>
      <c r="Y63" s="68" t="str">
        <f t="shared" si="63"/>
        <v/>
      </c>
      <c r="Z63" s="68" t="str">
        <f t="shared" si="63"/>
        <v/>
      </c>
      <c r="AA63" s="68" t="str">
        <f t="shared" si="63"/>
        <v/>
      </c>
    </row>
    <row r="64">
      <c r="A64" s="85"/>
      <c r="B64" s="69"/>
      <c r="C64" s="68" t="str">
        <f t="shared" ref="C64:AA64" si="64">IF(ISBLANK($B64),"",IFERROR($B64/C$2,""))</f>
        <v/>
      </c>
      <c r="D64" s="68" t="str">
        <f t="shared" si="64"/>
        <v/>
      </c>
      <c r="E64" s="68" t="str">
        <f t="shared" si="64"/>
        <v/>
      </c>
      <c r="F64" s="68" t="str">
        <f t="shared" si="64"/>
        <v/>
      </c>
      <c r="G64" s="68" t="str">
        <f t="shared" si="64"/>
        <v/>
      </c>
      <c r="H64" s="68" t="str">
        <f t="shared" si="64"/>
        <v/>
      </c>
      <c r="I64" s="68" t="str">
        <f t="shared" si="64"/>
        <v/>
      </c>
      <c r="J64" s="68" t="str">
        <f t="shared" si="64"/>
        <v/>
      </c>
      <c r="K64" s="68" t="str">
        <f t="shared" si="64"/>
        <v/>
      </c>
      <c r="L64" s="68" t="str">
        <f t="shared" si="64"/>
        <v/>
      </c>
      <c r="M64" s="68" t="str">
        <f t="shared" si="64"/>
        <v/>
      </c>
      <c r="N64" s="68" t="str">
        <f t="shared" si="64"/>
        <v/>
      </c>
      <c r="O64" s="68" t="str">
        <f t="shared" si="64"/>
        <v/>
      </c>
      <c r="P64" s="68" t="str">
        <f t="shared" si="64"/>
        <v/>
      </c>
      <c r="Q64" s="68" t="str">
        <f t="shared" si="64"/>
        <v/>
      </c>
      <c r="R64" s="68" t="str">
        <f t="shared" si="64"/>
        <v/>
      </c>
      <c r="S64" s="68" t="str">
        <f t="shared" si="64"/>
        <v/>
      </c>
      <c r="T64" s="68" t="str">
        <f t="shared" si="64"/>
        <v/>
      </c>
      <c r="U64" s="68" t="str">
        <f t="shared" si="64"/>
        <v/>
      </c>
      <c r="V64" s="68" t="str">
        <f t="shared" si="64"/>
        <v/>
      </c>
      <c r="W64" s="68" t="str">
        <f t="shared" si="64"/>
        <v/>
      </c>
      <c r="X64" s="68" t="str">
        <f t="shared" si="64"/>
        <v/>
      </c>
      <c r="Y64" s="68" t="str">
        <f t="shared" si="64"/>
        <v/>
      </c>
      <c r="Z64" s="68" t="str">
        <f t="shared" si="64"/>
        <v/>
      </c>
      <c r="AA64" s="68" t="str">
        <f t="shared" si="64"/>
        <v/>
      </c>
    </row>
    <row r="65">
      <c r="A65" s="85"/>
      <c r="B65" s="69"/>
      <c r="C65" s="68" t="str">
        <f t="shared" ref="C65:AA65" si="65">IF(ISBLANK($B65),"",IFERROR($B65/C$2,""))</f>
        <v/>
      </c>
      <c r="D65" s="68" t="str">
        <f t="shared" si="65"/>
        <v/>
      </c>
      <c r="E65" s="68" t="str">
        <f t="shared" si="65"/>
        <v/>
      </c>
      <c r="F65" s="68" t="str">
        <f t="shared" si="65"/>
        <v/>
      </c>
      <c r="G65" s="68" t="str">
        <f t="shared" si="65"/>
        <v/>
      </c>
      <c r="H65" s="68" t="str">
        <f t="shared" si="65"/>
        <v/>
      </c>
      <c r="I65" s="68" t="str">
        <f t="shared" si="65"/>
        <v/>
      </c>
      <c r="J65" s="68" t="str">
        <f t="shared" si="65"/>
        <v/>
      </c>
      <c r="K65" s="68" t="str">
        <f t="shared" si="65"/>
        <v/>
      </c>
      <c r="L65" s="68" t="str">
        <f t="shared" si="65"/>
        <v/>
      </c>
      <c r="M65" s="68" t="str">
        <f t="shared" si="65"/>
        <v/>
      </c>
      <c r="N65" s="68" t="str">
        <f t="shared" si="65"/>
        <v/>
      </c>
      <c r="O65" s="68" t="str">
        <f t="shared" si="65"/>
        <v/>
      </c>
      <c r="P65" s="68" t="str">
        <f t="shared" si="65"/>
        <v/>
      </c>
      <c r="Q65" s="68" t="str">
        <f t="shared" si="65"/>
        <v/>
      </c>
      <c r="R65" s="68" t="str">
        <f t="shared" si="65"/>
        <v/>
      </c>
      <c r="S65" s="68" t="str">
        <f t="shared" si="65"/>
        <v/>
      </c>
      <c r="T65" s="68" t="str">
        <f t="shared" si="65"/>
        <v/>
      </c>
      <c r="U65" s="68" t="str">
        <f t="shared" si="65"/>
        <v/>
      </c>
      <c r="V65" s="68" t="str">
        <f t="shared" si="65"/>
        <v/>
      </c>
      <c r="W65" s="68" t="str">
        <f t="shared" si="65"/>
        <v/>
      </c>
      <c r="X65" s="68" t="str">
        <f t="shared" si="65"/>
        <v/>
      </c>
      <c r="Y65" s="68" t="str">
        <f t="shared" si="65"/>
        <v/>
      </c>
      <c r="Z65" s="68" t="str">
        <f t="shared" si="65"/>
        <v/>
      </c>
      <c r="AA65" s="68" t="str">
        <f t="shared" si="65"/>
        <v/>
      </c>
    </row>
    <row r="66">
      <c r="A66" s="85"/>
      <c r="B66" s="69"/>
      <c r="C66" s="68" t="str">
        <f t="shared" ref="C66:AA66" si="66">IF(ISBLANK($B66),"",IFERROR($B66/C$2,""))</f>
        <v/>
      </c>
      <c r="D66" s="68" t="str">
        <f t="shared" si="66"/>
        <v/>
      </c>
      <c r="E66" s="68" t="str">
        <f t="shared" si="66"/>
        <v/>
      </c>
      <c r="F66" s="68" t="str">
        <f t="shared" si="66"/>
        <v/>
      </c>
      <c r="G66" s="68" t="str">
        <f t="shared" si="66"/>
        <v/>
      </c>
      <c r="H66" s="68" t="str">
        <f t="shared" si="66"/>
        <v/>
      </c>
      <c r="I66" s="68" t="str">
        <f t="shared" si="66"/>
        <v/>
      </c>
      <c r="J66" s="68" t="str">
        <f t="shared" si="66"/>
        <v/>
      </c>
      <c r="K66" s="68" t="str">
        <f t="shared" si="66"/>
        <v/>
      </c>
      <c r="L66" s="68" t="str">
        <f t="shared" si="66"/>
        <v/>
      </c>
      <c r="M66" s="68" t="str">
        <f t="shared" si="66"/>
        <v/>
      </c>
      <c r="N66" s="68" t="str">
        <f t="shared" si="66"/>
        <v/>
      </c>
      <c r="O66" s="68" t="str">
        <f t="shared" si="66"/>
        <v/>
      </c>
      <c r="P66" s="68" t="str">
        <f t="shared" si="66"/>
        <v/>
      </c>
      <c r="Q66" s="68" t="str">
        <f t="shared" si="66"/>
        <v/>
      </c>
      <c r="R66" s="68" t="str">
        <f t="shared" si="66"/>
        <v/>
      </c>
      <c r="S66" s="68" t="str">
        <f t="shared" si="66"/>
        <v/>
      </c>
      <c r="T66" s="68" t="str">
        <f t="shared" si="66"/>
        <v/>
      </c>
      <c r="U66" s="68" t="str">
        <f t="shared" si="66"/>
        <v/>
      </c>
      <c r="V66" s="68" t="str">
        <f t="shared" si="66"/>
        <v/>
      </c>
      <c r="W66" s="68" t="str">
        <f t="shared" si="66"/>
        <v/>
      </c>
      <c r="X66" s="68" t="str">
        <f t="shared" si="66"/>
        <v/>
      </c>
      <c r="Y66" s="68" t="str">
        <f t="shared" si="66"/>
        <v/>
      </c>
      <c r="Z66" s="68" t="str">
        <f t="shared" si="66"/>
        <v/>
      </c>
      <c r="AA66" s="68" t="str">
        <f t="shared" si="66"/>
        <v/>
      </c>
    </row>
    <row r="67">
      <c r="A67" s="85"/>
      <c r="B67" s="69"/>
      <c r="C67" s="68" t="str">
        <f t="shared" ref="C67:AA67" si="67">IF(ISBLANK($B67),"",IFERROR($B67/C$2,""))</f>
        <v/>
      </c>
      <c r="D67" s="68" t="str">
        <f t="shared" si="67"/>
        <v/>
      </c>
      <c r="E67" s="68" t="str">
        <f t="shared" si="67"/>
        <v/>
      </c>
      <c r="F67" s="68" t="str">
        <f t="shared" si="67"/>
        <v/>
      </c>
      <c r="G67" s="68" t="str">
        <f t="shared" si="67"/>
        <v/>
      </c>
      <c r="H67" s="68" t="str">
        <f t="shared" si="67"/>
        <v/>
      </c>
      <c r="I67" s="68" t="str">
        <f t="shared" si="67"/>
        <v/>
      </c>
      <c r="J67" s="68" t="str">
        <f t="shared" si="67"/>
        <v/>
      </c>
      <c r="K67" s="68" t="str">
        <f t="shared" si="67"/>
        <v/>
      </c>
      <c r="L67" s="68" t="str">
        <f t="shared" si="67"/>
        <v/>
      </c>
      <c r="M67" s="68" t="str">
        <f t="shared" si="67"/>
        <v/>
      </c>
      <c r="N67" s="68" t="str">
        <f t="shared" si="67"/>
        <v/>
      </c>
      <c r="O67" s="68" t="str">
        <f t="shared" si="67"/>
        <v/>
      </c>
      <c r="P67" s="68" t="str">
        <f t="shared" si="67"/>
        <v/>
      </c>
      <c r="Q67" s="68" t="str">
        <f t="shared" si="67"/>
        <v/>
      </c>
      <c r="R67" s="68" t="str">
        <f t="shared" si="67"/>
        <v/>
      </c>
      <c r="S67" s="68" t="str">
        <f t="shared" si="67"/>
        <v/>
      </c>
      <c r="T67" s="68" t="str">
        <f t="shared" si="67"/>
        <v/>
      </c>
      <c r="U67" s="68" t="str">
        <f t="shared" si="67"/>
        <v/>
      </c>
      <c r="V67" s="68" t="str">
        <f t="shared" si="67"/>
        <v/>
      </c>
      <c r="W67" s="68" t="str">
        <f t="shared" si="67"/>
        <v/>
      </c>
      <c r="X67" s="68" t="str">
        <f t="shared" si="67"/>
        <v/>
      </c>
      <c r="Y67" s="68" t="str">
        <f t="shared" si="67"/>
        <v/>
      </c>
      <c r="Z67" s="68" t="str">
        <f t="shared" si="67"/>
        <v/>
      </c>
      <c r="AA67" s="68" t="str">
        <f t="shared" si="67"/>
        <v/>
      </c>
    </row>
    <row r="68">
      <c r="A68" s="85"/>
      <c r="B68" s="69"/>
      <c r="C68" s="68" t="str">
        <f t="shared" ref="C68:AA68" si="68">IF(ISBLANK($B68),"",IFERROR($B68/C$2,""))</f>
        <v/>
      </c>
      <c r="D68" s="68" t="str">
        <f t="shared" si="68"/>
        <v/>
      </c>
      <c r="E68" s="68" t="str">
        <f t="shared" si="68"/>
        <v/>
      </c>
      <c r="F68" s="68" t="str">
        <f t="shared" si="68"/>
        <v/>
      </c>
      <c r="G68" s="68" t="str">
        <f t="shared" si="68"/>
        <v/>
      </c>
      <c r="H68" s="68" t="str">
        <f t="shared" si="68"/>
        <v/>
      </c>
      <c r="I68" s="68" t="str">
        <f t="shared" si="68"/>
        <v/>
      </c>
      <c r="J68" s="68" t="str">
        <f t="shared" si="68"/>
        <v/>
      </c>
      <c r="K68" s="68" t="str">
        <f t="shared" si="68"/>
        <v/>
      </c>
      <c r="L68" s="68" t="str">
        <f t="shared" si="68"/>
        <v/>
      </c>
      <c r="M68" s="68" t="str">
        <f t="shared" si="68"/>
        <v/>
      </c>
      <c r="N68" s="68" t="str">
        <f t="shared" si="68"/>
        <v/>
      </c>
      <c r="O68" s="68" t="str">
        <f t="shared" si="68"/>
        <v/>
      </c>
      <c r="P68" s="68" t="str">
        <f t="shared" si="68"/>
        <v/>
      </c>
      <c r="Q68" s="68" t="str">
        <f t="shared" si="68"/>
        <v/>
      </c>
      <c r="R68" s="68" t="str">
        <f t="shared" si="68"/>
        <v/>
      </c>
      <c r="S68" s="68" t="str">
        <f t="shared" si="68"/>
        <v/>
      </c>
      <c r="T68" s="68" t="str">
        <f t="shared" si="68"/>
        <v/>
      </c>
      <c r="U68" s="68" t="str">
        <f t="shared" si="68"/>
        <v/>
      </c>
      <c r="V68" s="68" t="str">
        <f t="shared" si="68"/>
        <v/>
      </c>
      <c r="W68" s="68" t="str">
        <f t="shared" si="68"/>
        <v/>
      </c>
      <c r="X68" s="68" t="str">
        <f t="shared" si="68"/>
        <v/>
      </c>
      <c r="Y68" s="68" t="str">
        <f t="shared" si="68"/>
        <v/>
      </c>
      <c r="Z68" s="68" t="str">
        <f t="shared" si="68"/>
        <v/>
      </c>
      <c r="AA68" s="68" t="str">
        <f t="shared" si="68"/>
        <v/>
      </c>
    </row>
    <row r="69">
      <c r="A69" s="85"/>
      <c r="B69" s="69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</row>
    <row r="70">
      <c r="A70" s="85"/>
      <c r="B70" s="69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</row>
    <row r="71">
      <c r="A71" s="85"/>
      <c r="B71" s="69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</row>
    <row r="72">
      <c r="A72" s="85"/>
      <c r="B72" s="69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</row>
    <row r="73">
      <c r="A73" s="85"/>
      <c r="B73" s="69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</row>
    <row r="74">
      <c r="A74" s="85"/>
      <c r="B74" s="69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</row>
    <row r="75">
      <c r="A75" s="85"/>
      <c r="B75" s="69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</row>
    <row r="76">
      <c r="A76" s="85"/>
      <c r="B76" s="69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</row>
    <row r="77">
      <c r="A77" s="85"/>
      <c r="B77" s="69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</row>
    <row r="78">
      <c r="A78" s="85"/>
      <c r="B78" s="69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</row>
    <row r="79">
      <c r="A79" s="85"/>
      <c r="B79" s="69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</row>
    <row r="80">
      <c r="A80" s="85"/>
      <c r="B80" s="69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</row>
    <row r="81">
      <c r="A81" s="85"/>
      <c r="B81" s="69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</row>
    <row r="82">
      <c r="A82" s="85"/>
      <c r="B82" s="69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</row>
    <row r="83">
      <c r="A83" s="85"/>
      <c r="B83" s="69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</row>
    <row r="84">
      <c r="A84" s="85"/>
      <c r="B84" s="69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</row>
    <row r="85">
      <c r="A85" s="85"/>
      <c r="B85" s="69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</row>
    <row r="86">
      <c r="A86" s="85"/>
      <c r="B86" s="69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</row>
    <row r="87">
      <c r="A87" s="85"/>
      <c r="B87" s="69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</row>
    <row r="88">
      <c r="A88" s="85"/>
      <c r="B88" s="69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</row>
    <row r="89">
      <c r="A89" s="85"/>
      <c r="B89" s="69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</row>
    <row r="90">
      <c r="A90" s="85"/>
      <c r="B90" s="69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</row>
    <row r="91">
      <c r="A91" s="85"/>
      <c r="B91" s="69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</row>
    <row r="92">
      <c r="A92" s="85"/>
      <c r="B92" s="69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</row>
    <row r="93">
      <c r="A93" s="85"/>
      <c r="B93" s="69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</row>
    <row r="94">
      <c r="A94" s="85"/>
      <c r="B94" s="69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</row>
    <row r="95">
      <c r="A95" s="85"/>
      <c r="B95" s="69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</row>
    <row r="96">
      <c r="A96" s="85"/>
      <c r="B96" s="69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</row>
    <row r="97">
      <c r="A97" s="85"/>
      <c r="B97" s="69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</row>
    <row r="98">
      <c r="A98" s="85"/>
      <c r="B98" s="69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</row>
    <row r="99">
      <c r="A99" s="85"/>
      <c r="B99" s="69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</row>
    <row r="100">
      <c r="A100" s="85"/>
      <c r="B100" s="69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</row>
    <row r="101">
      <c r="A101" s="85"/>
      <c r="B101" s="69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</row>
    <row r="102">
      <c r="A102" s="85"/>
      <c r="B102" s="69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</row>
    <row r="103">
      <c r="A103" s="85"/>
      <c r="B103" s="69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</row>
    <row r="104">
      <c r="A104" s="85"/>
      <c r="B104" s="69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</row>
    <row r="105">
      <c r="A105" s="85"/>
      <c r="B105" s="69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</row>
    <row r="106">
      <c r="A106" s="85"/>
      <c r="B106" s="69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</row>
    <row r="107">
      <c r="A107" s="85"/>
      <c r="B107" s="69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</row>
    <row r="108">
      <c r="A108" s="85"/>
      <c r="B108" s="69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</row>
    <row r="109">
      <c r="A109" s="85"/>
      <c r="B109" s="69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</row>
    <row r="110">
      <c r="A110" s="85"/>
      <c r="B110" s="69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</row>
    <row r="111">
      <c r="A111" s="85"/>
      <c r="B111" s="69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</row>
    <row r="112">
      <c r="A112" s="85"/>
      <c r="B112" s="69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</row>
    <row r="113">
      <c r="A113" s="85"/>
      <c r="B113" s="69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</row>
    <row r="114">
      <c r="A114" s="85"/>
      <c r="B114" s="69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</row>
    <row r="115">
      <c r="A115" s="85"/>
      <c r="B115" s="69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</row>
    <row r="116">
      <c r="A116" s="85"/>
      <c r="B116" s="69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</row>
    <row r="117">
      <c r="A117" s="85"/>
      <c r="B117" s="69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</row>
    <row r="118">
      <c r="A118" s="85"/>
      <c r="B118" s="69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</row>
    <row r="119">
      <c r="A119" s="85"/>
      <c r="B119" s="69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</row>
    <row r="120">
      <c r="A120" s="85"/>
      <c r="B120" s="69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</row>
    <row r="121">
      <c r="A121" s="85"/>
      <c r="B121" s="69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</row>
    <row r="122">
      <c r="A122" s="85"/>
      <c r="B122" s="69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</row>
    <row r="123">
      <c r="A123" s="85"/>
      <c r="B123" s="69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</row>
    <row r="124">
      <c r="A124" s="85"/>
      <c r="B124" s="69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</row>
    <row r="125">
      <c r="A125" s="85"/>
      <c r="B125" s="69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</row>
    <row r="126">
      <c r="A126" s="85"/>
      <c r="B126" s="69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</row>
    <row r="127">
      <c r="A127" s="85"/>
      <c r="B127" s="69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</row>
    <row r="128">
      <c r="A128" s="85"/>
      <c r="B128" s="69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</row>
    <row r="129">
      <c r="A129" s="85"/>
      <c r="B129" s="69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</row>
    <row r="130">
      <c r="A130" s="85"/>
      <c r="B130" s="69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</row>
    <row r="131">
      <c r="A131" s="85"/>
      <c r="B131" s="69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</row>
    <row r="132">
      <c r="A132" s="85"/>
      <c r="B132" s="69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</row>
    <row r="133">
      <c r="A133" s="85"/>
      <c r="B133" s="69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</row>
    <row r="134">
      <c r="A134" s="85"/>
      <c r="B134" s="69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</row>
    <row r="135">
      <c r="A135" s="85"/>
      <c r="B135" s="69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</row>
    <row r="136">
      <c r="A136" s="85"/>
      <c r="B136" s="69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</row>
    <row r="137">
      <c r="A137" s="85"/>
      <c r="B137" s="69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</row>
    <row r="138">
      <c r="A138" s="85"/>
      <c r="B138" s="69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</row>
    <row r="139">
      <c r="A139" s="85"/>
      <c r="B139" s="69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</row>
    <row r="140">
      <c r="A140" s="85"/>
      <c r="B140" s="69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</row>
    <row r="141">
      <c r="A141" s="85"/>
      <c r="B141" s="69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</row>
    <row r="142">
      <c r="A142" s="85"/>
      <c r="B142" s="69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</row>
    <row r="143">
      <c r="A143" s="85"/>
      <c r="B143" s="69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</row>
    <row r="144">
      <c r="A144" s="85"/>
      <c r="B144" s="69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</row>
    <row r="145">
      <c r="A145" s="85"/>
      <c r="B145" s="69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</row>
    <row r="146">
      <c r="A146" s="85"/>
      <c r="B146" s="69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</row>
    <row r="147">
      <c r="A147" s="85"/>
      <c r="B147" s="69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</row>
    <row r="148">
      <c r="A148" s="85"/>
      <c r="B148" s="69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</row>
    <row r="149">
      <c r="A149" s="85"/>
      <c r="B149" s="69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</row>
    <row r="150">
      <c r="A150" s="85"/>
      <c r="B150" s="69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</row>
    <row r="151">
      <c r="A151" s="85"/>
      <c r="B151" s="69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</row>
    <row r="152">
      <c r="A152" s="85"/>
      <c r="B152" s="69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</row>
    <row r="153">
      <c r="A153" s="85"/>
      <c r="B153" s="69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</row>
    <row r="154">
      <c r="A154" s="85"/>
      <c r="B154" s="69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</row>
    <row r="155">
      <c r="A155" s="85"/>
      <c r="B155" s="69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</row>
    <row r="156">
      <c r="A156" s="85"/>
      <c r="B156" s="69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</row>
    <row r="157">
      <c r="A157" s="85"/>
      <c r="B157" s="69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</row>
    <row r="158">
      <c r="A158" s="85"/>
      <c r="B158" s="69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</row>
    <row r="159">
      <c r="A159" s="85"/>
      <c r="B159" s="69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</row>
    <row r="160">
      <c r="A160" s="85"/>
      <c r="B160" s="69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</row>
    <row r="161">
      <c r="A161" s="85"/>
      <c r="B161" s="69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</row>
    <row r="162">
      <c r="A162" s="85"/>
      <c r="B162" s="69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</row>
    <row r="163">
      <c r="A163" s="85"/>
      <c r="B163" s="69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</row>
    <row r="164">
      <c r="A164" s="85"/>
      <c r="B164" s="69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</row>
    <row r="165">
      <c r="A165" s="85"/>
      <c r="B165" s="69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</row>
    <row r="166">
      <c r="A166" s="85"/>
      <c r="B166" s="69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</row>
    <row r="167">
      <c r="A167" s="85"/>
      <c r="B167" s="69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</row>
    <row r="168">
      <c r="A168" s="85"/>
      <c r="B168" s="69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</row>
    <row r="169">
      <c r="A169" s="85"/>
      <c r="B169" s="69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</row>
    <row r="170">
      <c r="A170" s="85"/>
      <c r="B170" s="69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</row>
    <row r="171">
      <c r="A171" s="85"/>
      <c r="B171" s="69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</row>
    <row r="172">
      <c r="A172" s="85"/>
      <c r="B172" s="69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</row>
    <row r="173">
      <c r="A173" s="85"/>
      <c r="B173" s="69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</row>
    <row r="174">
      <c r="A174" s="85"/>
      <c r="B174" s="69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</row>
    <row r="175">
      <c r="A175" s="85"/>
      <c r="B175" s="69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</row>
    <row r="176">
      <c r="A176" s="85"/>
      <c r="B176" s="69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</row>
    <row r="177">
      <c r="A177" s="85"/>
      <c r="B177" s="69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</row>
    <row r="178">
      <c r="A178" s="85"/>
      <c r="B178" s="69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</row>
    <row r="179">
      <c r="A179" s="85"/>
      <c r="B179" s="69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</row>
    <row r="180">
      <c r="A180" s="85"/>
      <c r="B180" s="69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</row>
    <row r="181">
      <c r="A181" s="85"/>
      <c r="B181" s="69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</row>
    <row r="182">
      <c r="A182" s="85"/>
      <c r="B182" s="69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</row>
    <row r="183">
      <c r="A183" s="85"/>
      <c r="B183" s="69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</row>
    <row r="184">
      <c r="A184" s="85"/>
      <c r="B184" s="69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</row>
    <row r="185">
      <c r="A185" s="85"/>
      <c r="B185" s="69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</row>
    <row r="186">
      <c r="A186" s="85"/>
      <c r="B186" s="69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</row>
    <row r="187">
      <c r="A187" s="85"/>
      <c r="B187" s="69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</row>
    <row r="188">
      <c r="A188" s="85"/>
      <c r="B188" s="69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</row>
    <row r="189">
      <c r="A189" s="85"/>
      <c r="B189" s="69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</row>
    <row r="190">
      <c r="A190" s="85"/>
      <c r="B190" s="69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</row>
    <row r="191">
      <c r="A191" s="85"/>
      <c r="B191" s="69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</row>
    <row r="192">
      <c r="A192" s="85"/>
      <c r="B192" s="69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</row>
    <row r="193">
      <c r="A193" s="85"/>
      <c r="B193" s="69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</row>
    <row r="194">
      <c r="A194" s="85"/>
      <c r="B194" s="69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</row>
    <row r="195">
      <c r="A195" s="85"/>
      <c r="B195" s="69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</row>
    <row r="196">
      <c r="A196" s="85"/>
      <c r="B196" s="69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</row>
    <row r="197">
      <c r="A197" s="85"/>
      <c r="B197" s="69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</row>
    <row r="198">
      <c r="A198" s="85"/>
      <c r="B198" s="69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</row>
    <row r="199">
      <c r="A199" s="85"/>
      <c r="B199" s="69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</row>
    <row r="200">
      <c r="A200" s="85"/>
      <c r="B200" s="69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</row>
    <row r="201">
      <c r="A201" s="85"/>
      <c r="B201" s="69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</row>
    <row r="202">
      <c r="A202" s="85"/>
      <c r="B202" s="69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</row>
    <row r="203">
      <c r="A203" s="85"/>
      <c r="B203" s="69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</row>
    <row r="204">
      <c r="A204" s="85"/>
      <c r="B204" s="69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</row>
    <row r="205">
      <c r="A205" s="85"/>
      <c r="B205" s="69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</row>
    <row r="206">
      <c r="A206" s="85"/>
      <c r="B206" s="69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</row>
    <row r="207">
      <c r="A207" s="85"/>
      <c r="B207" s="69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</row>
    <row r="208">
      <c r="A208" s="85"/>
      <c r="B208" s="69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</row>
    <row r="209">
      <c r="A209" s="85"/>
      <c r="B209" s="69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</row>
    <row r="210">
      <c r="A210" s="85"/>
      <c r="B210" s="69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</row>
    <row r="211">
      <c r="A211" s="85"/>
      <c r="B211" s="69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</row>
    <row r="212">
      <c r="A212" s="85"/>
      <c r="B212" s="69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</row>
    <row r="213">
      <c r="A213" s="85"/>
      <c r="B213" s="69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</row>
    <row r="214">
      <c r="A214" s="85"/>
      <c r="B214" s="69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</row>
    <row r="215">
      <c r="A215" s="85"/>
      <c r="B215" s="69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</row>
    <row r="216">
      <c r="A216" s="85"/>
      <c r="B216" s="69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</row>
    <row r="217">
      <c r="A217" s="85"/>
      <c r="B217" s="69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</row>
    <row r="218">
      <c r="A218" s="85"/>
      <c r="B218" s="69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</row>
    <row r="219">
      <c r="A219" s="85"/>
      <c r="B219" s="69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</row>
    <row r="220">
      <c r="A220" s="85"/>
      <c r="B220" s="69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</row>
    <row r="221">
      <c r="A221" s="85"/>
      <c r="B221" s="69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</row>
    <row r="222">
      <c r="A222" s="85"/>
      <c r="B222" s="69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</row>
    <row r="223">
      <c r="A223" s="85"/>
      <c r="B223" s="69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</row>
    <row r="224">
      <c r="A224" s="85"/>
      <c r="B224" s="69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</row>
    <row r="225">
      <c r="A225" s="85"/>
      <c r="B225" s="69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</row>
    <row r="226">
      <c r="A226" s="85"/>
      <c r="B226" s="69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</row>
    <row r="227">
      <c r="A227" s="85"/>
      <c r="B227" s="69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</row>
    <row r="228">
      <c r="A228" s="85"/>
      <c r="B228" s="69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</row>
    <row r="229">
      <c r="A229" s="85"/>
      <c r="B229" s="69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</row>
    <row r="230">
      <c r="A230" s="85"/>
      <c r="B230" s="69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</row>
    <row r="231">
      <c r="A231" s="85"/>
      <c r="B231" s="69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</row>
    <row r="232">
      <c r="A232" s="85"/>
      <c r="B232" s="69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</row>
    <row r="233">
      <c r="A233" s="85"/>
      <c r="B233" s="69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</row>
    <row r="234">
      <c r="A234" s="85"/>
      <c r="B234" s="69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</row>
    <row r="235">
      <c r="A235" s="85"/>
      <c r="B235" s="69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</row>
    <row r="236">
      <c r="A236" s="85"/>
      <c r="B236" s="69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</row>
    <row r="237">
      <c r="A237" s="85"/>
      <c r="B237" s="69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</row>
    <row r="238">
      <c r="A238" s="85"/>
      <c r="B238" s="69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</row>
    <row r="239">
      <c r="A239" s="85"/>
      <c r="B239" s="69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</row>
    <row r="240">
      <c r="A240" s="85"/>
      <c r="B240" s="69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</row>
    <row r="241">
      <c r="A241" s="85"/>
      <c r="B241" s="69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</row>
    <row r="242">
      <c r="A242" s="85"/>
      <c r="B242" s="69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</row>
    <row r="243">
      <c r="A243" s="85"/>
      <c r="B243" s="69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</row>
    <row r="244">
      <c r="A244" s="85"/>
      <c r="B244" s="69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</row>
    <row r="245">
      <c r="A245" s="85"/>
      <c r="B245" s="69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</row>
    <row r="246">
      <c r="A246" s="85"/>
      <c r="B246" s="69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</row>
    <row r="247">
      <c r="A247" s="85"/>
      <c r="B247" s="69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</row>
    <row r="248">
      <c r="A248" s="85"/>
      <c r="B248" s="69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</row>
    <row r="249">
      <c r="A249" s="85"/>
      <c r="B249" s="69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</row>
    <row r="250">
      <c r="A250" s="85"/>
      <c r="B250" s="69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</row>
    <row r="251">
      <c r="A251" s="85"/>
      <c r="B251" s="69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</row>
    <row r="252">
      <c r="A252" s="85"/>
      <c r="B252" s="69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</row>
    <row r="253">
      <c r="A253" s="85"/>
      <c r="B253" s="69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</row>
    <row r="254">
      <c r="A254" s="85"/>
      <c r="B254" s="69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</row>
    <row r="255">
      <c r="A255" s="85"/>
      <c r="B255" s="69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</row>
    <row r="256">
      <c r="A256" s="85"/>
      <c r="B256" s="69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</row>
    <row r="257">
      <c r="A257" s="85"/>
      <c r="B257" s="69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</row>
    <row r="258">
      <c r="A258" s="85"/>
      <c r="B258" s="69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</row>
    <row r="259">
      <c r="A259" s="85"/>
      <c r="B259" s="69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</row>
    <row r="260">
      <c r="A260" s="85"/>
      <c r="B260" s="69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</row>
    <row r="261">
      <c r="A261" s="85"/>
      <c r="B261" s="69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</row>
    <row r="262">
      <c r="A262" s="85"/>
      <c r="B262" s="69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</row>
    <row r="263">
      <c r="A263" s="85"/>
      <c r="B263" s="69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</row>
    <row r="264">
      <c r="A264" s="85"/>
      <c r="B264" s="69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</row>
    <row r="265">
      <c r="A265" s="85"/>
      <c r="B265" s="69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</row>
    <row r="266">
      <c r="A266" s="85"/>
      <c r="B266" s="69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</row>
    <row r="267">
      <c r="A267" s="85"/>
      <c r="B267" s="69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</row>
    <row r="268">
      <c r="A268" s="85"/>
      <c r="B268" s="69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</row>
    <row r="269">
      <c r="A269" s="85"/>
      <c r="B269" s="69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</row>
    <row r="270">
      <c r="A270" s="85"/>
      <c r="B270" s="69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</row>
    <row r="271">
      <c r="A271" s="85"/>
      <c r="B271" s="69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</row>
    <row r="272">
      <c r="A272" s="85"/>
      <c r="B272" s="69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</row>
    <row r="273">
      <c r="A273" s="85"/>
      <c r="B273" s="69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</row>
    <row r="274">
      <c r="A274" s="85"/>
      <c r="B274" s="69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</row>
    <row r="275">
      <c r="A275" s="85"/>
      <c r="B275" s="69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</row>
    <row r="276">
      <c r="A276" s="85"/>
      <c r="B276" s="69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</row>
    <row r="277">
      <c r="A277" s="85"/>
      <c r="B277" s="69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</row>
    <row r="278">
      <c r="A278" s="85"/>
      <c r="B278" s="69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</row>
    <row r="279">
      <c r="A279" s="85"/>
      <c r="B279" s="69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</row>
    <row r="280">
      <c r="A280" s="85"/>
      <c r="B280" s="69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</row>
    <row r="281">
      <c r="A281" s="85"/>
      <c r="B281" s="69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</row>
    <row r="282">
      <c r="A282" s="85"/>
      <c r="B282" s="69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</row>
    <row r="283">
      <c r="A283" s="85"/>
      <c r="B283" s="69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</row>
    <row r="284">
      <c r="A284" s="85"/>
      <c r="B284" s="69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</row>
    <row r="285">
      <c r="A285" s="85"/>
      <c r="B285" s="69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</row>
    <row r="286">
      <c r="A286" s="85"/>
      <c r="B286" s="69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</row>
    <row r="287">
      <c r="A287" s="85"/>
      <c r="B287" s="69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</row>
    <row r="288">
      <c r="A288" s="85"/>
      <c r="B288" s="69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</row>
    <row r="289">
      <c r="A289" s="85"/>
      <c r="B289" s="69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</row>
    <row r="290">
      <c r="A290" s="85"/>
      <c r="B290" s="69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</row>
    <row r="291">
      <c r="A291" s="85"/>
      <c r="B291" s="69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</row>
    <row r="292">
      <c r="A292" s="85"/>
      <c r="B292" s="69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</row>
    <row r="293">
      <c r="A293" s="85"/>
      <c r="B293" s="69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</row>
    <row r="294">
      <c r="A294" s="85"/>
      <c r="B294" s="69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</row>
    <row r="295">
      <c r="A295" s="85"/>
      <c r="B295" s="69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</row>
    <row r="296">
      <c r="A296" s="85"/>
      <c r="B296" s="69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</row>
    <row r="297">
      <c r="A297" s="85"/>
      <c r="B297" s="69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</row>
    <row r="298">
      <c r="A298" s="85"/>
      <c r="B298" s="69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</row>
    <row r="299">
      <c r="A299" s="85"/>
      <c r="B299" s="69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</row>
    <row r="300">
      <c r="A300" s="85"/>
      <c r="B300" s="69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</row>
    <row r="301">
      <c r="A301" s="85"/>
      <c r="B301" s="69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</row>
    <row r="302">
      <c r="A302" s="85"/>
      <c r="B302" s="69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</row>
    <row r="303">
      <c r="A303" s="85"/>
      <c r="B303" s="69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</row>
    <row r="304">
      <c r="A304" s="85"/>
      <c r="B304" s="69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</row>
    <row r="305">
      <c r="A305" s="85"/>
      <c r="B305" s="69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</row>
    <row r="306">
      <c r="A306" s="85"/>
      <c r="B306" s="69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</row>
    <row r="307">
      <c r="A307" s="85"/>
      <c r="B307" s="69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</row>
    <row r="308">
      <c r="A308" s="85"/>
      <c r="B308" s="69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</row>
    <row r="309">
      <c r="A309" s="85"/>
      <c r="B309" s="69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</row>
    <row r="310">
      <c r="A310" s="85"/>
      <c r="B310" s="69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</row>
    <row r="311">
      <c r="A311" s="85"/>
      <c r="B311" s="69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</row>
    <row r="312">
      <c r="A312" s="85"/>
      <c r="B312" s="69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</row>
    <row r="313">
      <c r="A313" s="85"/>
      <c r="B313" s="69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</row>
    <row r="314">
      <c r="A314" s="85"/>
      <c r="B314" s="69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</row>
    <row r="315">
      <c r="A315" s="85"/>
      <c r="B315" s="69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</row>
    <row r="316">
      <c r="A316" s="85"/>
      <c r="B316" s="69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</row>
    <row r="317">
      <c r="A317" s="85"/>
      <c r="B317" s="69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</row>
    <row r="318">
      <c r="A318" s="85"/>
      <c r="B318" s="69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</row>
    <row r="319">
      <c r="A319" s="85"/>
      <c r="B319" s="69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</row>
    <row r="320">
      <c r="A320" s="85"/>
      <c r="B320" s="69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</row>
    <row r="321">
      <c r="A321" s="85"/>
      <c r="B321" s="69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</row>
    <row r="322">
      <c r="A322" s="85"/>
      <c r="B322" s="69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</row>
    <row r="323">
      <c r="A323" s="85"/>
      <c r="B323" s="69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</row>
    <row r="324">
      <c r="A324" s="85"/>
      <c r="B324" s="69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</row>
    <row r="325">
      <c r="A325" s="85"/>
      <c r="B325" s="69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</row>
    <row r="326">
      <c r="A326" s="85"/>
      <c r="B326" s="69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</row>
    <row r="327">
      <c r="A327" s="85"/>
      <c r="B327" s="69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</row>
    <row r="328">
      <c r="A328" s="85"/>
      <c r="B328" s="69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</row>
    <row r="329">
      <c r="A329" s="85"/>
      <c r="B329" s="69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</row>
    <row r="330">
      <c r="A330" s="85"/>
      <c r="B330" s="69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</row>
    <row r="331">
      <c r="A331" s="85"/>
      <c r="B331" s="69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</row>
    <row r="332">
      <c r="A332" s="85"/>
      <c r="B332" s="69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</row>
    <row r="333">
      <c r="A333" s="85"/>
      <c r="B333" s="69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</row>
    <row r="334">
      <c r="A334" s="85"/>
      <c r="B334" s="69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</row>
    <row r="335">
      <c r="A335" s="85"/>
      <c r="B335" s="69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</row>
    <row r="336">
      <c r="A336" s="85"/>
      <c r="B336" s="69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</row>
    <row r="337">
      <c r="A337" s="85"/>
      <c r="B337" s="69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</row>
    <row r="338">
      <c r="A338" s="85"/>
      <c r="B338" s="69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</row>
    <row r="339">
      <c r="A339" s="85"/>
      <c r="B339" s="69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</row>
    <row r="340">
      <c r="A340" s="85"/>
      <c r="B340" s="69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</row>
    <row r="341">
      <c r="A341" s="85"/>
      <c r="B341" s="69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</row>
    <row r="342">
      <c r="A342" s="85"/>
      <c r="B342" s="69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</row>
    <row r="343">
      <c r="A343" s="85"/>
      <c r="B343" s="69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</row>
    <row r="344">
      <c r="A344" s="85"/>
      <c r="B344" s="69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</row>
    <row r="345">
      <c r="A345" s="85"/>
      <c r="B345" s="69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</row>
    <row r="346">
      <c r="A346" s="85"/>
      <c r="B346" s="69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</row>
    <row r="347">
      <c r="A347" s="85"/>
      <c r="B347" s="69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</row>
    <row r="348">
      <c r="A348" s="85"/>
      <c r="B348" s="69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</row>
    <row r="349">
      <c r="A349" s="85"/>
      <c r="B349" s="69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</row>
    <row r="350">
      <c r="A350" s="85"/>
      <c r="B350" s="69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</row>
    <row r="351">
      <c r="A351" s="85"/>
      <c r="B351" s="69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</row>
    <row r="352">
      <c r="A352" s="85"/>
      <c r="B352" s="69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</row>
    <row r="353">
      <c r="A353" s="85"/>
      <c r="B353" s="69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</row>
    <row r="354">
      <c r="A354" s="85"/>
      <c r="B354" s="69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</row>
    <row r="355">
      <c r="A355" s="85"/>
      <c r="B355" s="69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</row>
    <row r="356">
      <c r="A356" s="85"/>
      <c r="B356" s="69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</row>
    <row r="357">
      <c r="A357" s="85"/>
      <c r="B357" s="69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</row>
    <row r="358">
      <c r="A358" s="85"/>
      <c r="B358" s="69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</row>
    <row r="359">
      <c r="A359" s="85"/>
      <c r="B359" s="69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</row>
    <row r="360">
      <c r="A360" s="85"/>
      <c r="B360" s="69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</row>
    <row r="361">
      <c r="A361" s="85"/>
      <c r="B361" s="69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</row>
    <row r="362">
      <c r="A362" s="85"/>
      <c r="B362" s="69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</row>
    <row r="363">
      <c r="A363" s="85"/>
      <c r="B363" s="69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</row>
    <row r="364">
      <c r="A364" s="85"/>
      <c r="B364" s="69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</row>
    <row r="365">
      <c r="A365" s="85"/>
      <c r="B365" s="69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</row>
    <row r="366">
      <c r="A366" s="85"/>
      <c r="B366" s="69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</row>
    <row r="367">
      <c r="A367" s="85"/>
      <c r="B367" s="69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</row>
    <row r="368">
      <c r="A368" s="85"/>
      <c r="B368" s="69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</row>
    <row r="369">
      <c r="A369" s="85"/>
      <c r="B369" s="69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</row>
    <row r="370">
      <c r="A370" s="85"/>
      <c r="B370" s="69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</row>
    <row r="371">
      <c r="A371" s="85"/>
      <c r="B371" s="69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</row>
    <row r="372">
      <c r="A372" s="85"/>
      <c r="B372" s="69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</row>
    <row r="373">
      <c r="A373" s="85"/>
      <c r="B373" s="69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</row>
    <row r="374">
      <c r="A374" s="85"/>
      <c r="B374" s="69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</row>
    <row r="375">
      <c r="A375" s="85"/>
      <c r="B375" s="69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</row>
    <row r="376">
      <c r="A376" s="85"/>
      <c r="B376" s="69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</row>
    <row r="377">
      <c r="A377" s="85"/>
      <c r="B377" s="69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</row>
    <row r="378">
      <c r="A378" s="85"/>
      <c r="B378" s="69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</row>
    <row r="379">
      <c r="A379" s="85"/>
      <c r="B379" s="69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</row>
    <row r="380">
      <c r="A380" s="85"/>
      <c r="B380" s="69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</row>
    <row r="381">
      <c r="A381" s="85"/>
      <c r="B381" s="69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</row>
    <row r="382">
      <c r="A382" s="85"/>
      <c r="B382" s="69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</row>
    <row r="383">
      <c r="A383" s="85"/>
      <c r="B383" s="69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</row>
    <row r="384">
      <c r="A384" s="85"/>
      <c r="B384" s="69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</row>
    <row r="385">
      <c r="A385" s="85"/>
      <c r="B385" s="69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</row>
    <row r="386">
      <c r="A386" s="85"/>
      <c r="B386" s="69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</row>
    <row r="387">
      <c r="A387" s="85"/>
      <c r="B387" s="69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</row>
    <row r="388">
      <c r="A388" s="85"/>
      <c r="B388" s="69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</row>
    <row r="389">
      <c r="A389" s="85"/>
      <c r="B389" s="69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</row>
    <row r="390">
      <c r="A390" s="85"/>
      <c r="B390" s="69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</row>
    <row r="391">
      <c r="A391" s="85"/>
      <c r="B391" s="69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</row>
    <row r="392">
      <c r="A392" s="85"/>
      <c r="B392" s="69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</row>
    <row r="393">
      <c r="A393" s="85"/>
      <c r="B393" s="69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</row>
    <row r="394">
      <c r="A394" s="85"/>
      <c r="B394" s="69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</row>
    <row r="395">
      <c r="A395" s="85"/>
      <c r="B395" s="69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</row>
    <row r="396">
      <c r="A396" s="85"/>
      <c r="B396" s="69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</row>
    <row r="397">
      <c r="A397" s="85"/>
      <c r="B397" s="69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</row>
    <row r="398">
      <c r="A398" s="85"/>
      <c r="B398" s="69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</row>
    <row r="399">
      <c r="A399" s="85"/>
      <c r="B399" s="69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</row>
    <row r="400">
      <c r="A400" s="85"/>
      <c r="B400" s="69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</row>
    <row r="401">
      <c r="A401" s="85"/>
      <c r="B401" s="69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</row>
    <row r="402">
      <c r="A402" s="85"/>
      <c r="B402" s="69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</row>
    <row r="403">
      <c r="A403" s="85"/>
      <c r="B403" s="69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</row>
    <row r="404">
      <c r="A404" s="85"/>
      <c r="B404" s="69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</row>
    <row r="405">
      <c r="A405" s="85"/>
      <c r="B405" s="69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</row>
    <row r="406">
      <c r="A406" s="85"/>
      <c r="B406" s="69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</row>
    <row r="407">
      <c r="A407" s="85"/>
      <c r="B407" s="69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</row>
    <row r="408">
      <c r="A408" s="85"/>
      <c r="B408" s="69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</row>
    <row r="409">
      <c r="A409" s="85"/>
      <c r="B409" s="69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</row>
    <row r="410">
      <c r="A410" s="85"/>
      <c r="B410" s="69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</row>
    <row r="411">
      <c r="A411" s="85"/>
      <c r="B411" s="69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</row>
    <row r="412">
      <c r="A412" s="85"/>
      <c r="B412" s="69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</row>
    <row r="413">
      <c r="A413" s="85"/>
      <c r="B413" s="69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</row>
    <row r="414">
      <c r="A414" s="85"/>
      <c r="B414" s="69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</row>
    <row r="415">
      <c r="A415" s="85"/>
      <c r="B415" s="69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</row>
    <row r="416">
      <c r="A416" s="85"/>
      <c r="B416" s="69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</row>
    <row r="417">
      <c r="A417" s="85"/>
      <c r="B417" s="69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</row>
    <row r="418">
      <c r="A418" s="85"/>
      <c r="B418" s="69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</row>
    <row r="419">
      <c r="A419" s="85"/>
      <c r="B419" s="69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</row>
    <row r="420">
      <c r="A420" s="85"/>
      <c r="B420" s="69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</row>
    <row r="421">
      <c r="A421" s="85"/>
      <c r="B421" s="69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</row>
    <row r="422">
      <c r="A422" s="85"/>
      <c r="B422" s="69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</row>
    <row r="423">
      <c r="A423" s="85"/>
      <c r="B423" s="69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</row>
    <row r="424">
      <c r="A424" s="85"/>
      <c r="B424" s="69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</row>
    <row r="425">
      <c r="A425" s="85"/>
      <c r="B425" s="69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</row>
    <row r="426">
      <c r="A426" s="85"/>
      <c r="B426" s="69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</row>
    <row r="427">
      <c r="A427" s="85"/>
      <c r="B427" s="69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</row>
    <row r="428">
      <c r="A428" s="85"/>
      <c r="B428" s="69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</row>
    <row r="429">
      <c r="A429" s="85"/>
      <c r="B429" s="69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</row>
    <row r="430">
      <c r="A430" s="85"/>
      <c r="B430" s="69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</row>
    <row r="431">
      <c r="A431" s="85"/>
      <c r="B431" s="69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</row>
    <row r="432">
      <c r="A432" s="85"/>
      <c r="B432" s="69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</row>
    <row r="433">
      <c r="A433" s="85"/>
      <c r="B433" s="69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</row>
    <row r="434">
      <c r="A434" s="85"/>
      <c r="B434" s="69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</row>
    <row r="435">
      <c r="A435" s="85"/>
      <c r="B435" s="69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</row>
    <row r="436">
      <c r="A436" s="85"/>
      <c r="B436" s="69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</row>
    <row r="437">
      <c r="A437" s="85"/>
      <c r="B437" s="69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</row>
    <row r="438">
      <c r="A438" s="85"/>
      <c r="B438" s="69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</row>
    <row r="439">
      <c r="A439" s="85"/>
      <c r="B439" s="69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</row>
    <row r="440">
      <c r="A440" s="85"/>
      <c r="B440" s="69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</row>
    <row r="441">
      <c r="A441" s="85"/>
      <c r="B441" s="69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</row>
    <row r="442">
      <c r="A442" s="85"/>
      <c r="B442" s="69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</row>
    <row r="443">
      <c r="A443" s="85"/>
      <c r="B443" s="69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</row>
    <row r="444">
      <c r="A444" s="85"/>
      <c r="B444" s="69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</row>
    <row r="445">
      <c r="A445" s="85"/>
      <c r="B445" s="69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</row>
    <row r="446">
      <c r="A446" s="85"/>
      <c r="B446" s="69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</row>
    <row r="447">
      <c r="A447" s="85"/>
      <c r="B447" s="69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</row>
    <row r="448">
      <c r="A448" s="85"/>
      <c r="B448" s="69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</row>
    <row r="449">
      <c r="A449" s="85"/>
      <c r="B449" s="69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</row>
    <row r="450">
      <c r="A450" s="85"/>
      <c r="B450" s="69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</row>
    <row r="451">
      <c r="A451" s="85"/>
      <c r="B451" s="69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</row>
    <row r="452">
      <c r="A452" s="85"/>
      <c r="B452" s="69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</row>
    <row r="453">
      <c r="A453" s="85"/>
      <c r="B453" s="69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</row>
    <row r="454">
      <c r="A454" s="85"/>
      <c r="B454" s="69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</row>
    <row r="455">
      <c r="A455" s="85"/>
      <c r="B455" s="69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</row>
    <row r="456">
      <c r="A456" s="85"/>
      <c r="B456" s="69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</row>
    <row r="457">
      <c r="A457" s="85"/>
      <c r="B457" s="69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</row>
    <row r="458">
      <c r="A458" s="85"/>
      <c r="B458" s="69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</row>
    <row r="459">
      <c r="A459" s="85"/>
      <c r="B459" s="69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</row>
    <row r="460">
      <c r="A460" s="85"/>
      <c r="B460" s="69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</row>
    <row r="461">
      <c r="A461" s="85"/>
      <c r="B461" s="69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</row>
    <row r="462">
      <c r="A462" s="85"/>
      <c r="B462" s="69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</row>
    <row r="463">
      <c r="A463" s="85"/>
      <c r="B463" s="69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</row>
    <row r="464">
      <c r="A464" s="85"/>
      <c r="B464" s="69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</row>
    <row r="465">
      <c r="A465" s="85"/>
      <c r="B465" s="69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</row>
    <row r="466">
      <c r="A466" s="85"/>
      <c r="B466" s="69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</row>
    <row r="467">
      <c r="A467" s="85"/>
      <c r="B467" s="69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</row>
    <row r="468">
      <c r="A468" s="85"/>
      <c r="B468" s="69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</row>
    <row r="469">
      <c r="A469" s="85"/>
      <c r="B469" s="69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</row>
    <row r="470">
      <c r="A470" s="85"/>
      <c r="B470" s="69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</row>
    <row r="471">
      <c r="A471" s="85"/>
      <c r="B471" s="69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</row>
    <row r="472">
      <c r="A472" s="85"/>
      <c r="B472" s="69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</row>
    <row r="473">
      <c r="A473" s="85"/>
      <c r="B473" s="69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</row>
    <row r="474">
      <c r="A474" s="85"/>
      <c r="B474" s="69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</row>
    <row r="475">
      <c r="A475" s="85"/>
      <c r="B475" s="69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</row>
    <row r="476">
      <c r="A476" s="85"/>
      <c r="B476" s="69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</row>
    <row r="477">
      <c r="A477" s="85"/>
      <c r="B477" s="69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</row>
    <row r="478">
      <c r="A478" s="85"/>
      <c r="B478" s="69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</row>
    <row r="479">
      <c r="A479" s="85"/>
      <c r="B479" s="69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</row>
    <row r="480">
      <c r="A480" s="85"/>
      <c r="B480" s="69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</row>
    <row r="481">
      <c r="A481" s="85"/>
      <c r="B481" s="69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</row>
    <row r="482">
      <c r="A482" s="85"/>
      <c r="B482" s="69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</row>
    <row r="483">
      <c r="A483" s="85"/>
      <c r="B483" s="69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</row>
    <row r="484">
      <c r="A484" s="85"/>
      <c r="B484" s="69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</row>
    <row r="485">
      <c r="A485" s="85"/>
      <c r="B485" s="69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</row>
    <row r="486">
      <c r="A486" s="85"/>
      <c r="B486" s="69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</row>
    <row r="487">
      <c r="A487" s="85"/>
      <c r="B487" s="69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</row>
    <row r="488">
      <c r="A488" s="85"/>
      <c r="B488" s="69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</row>
    <row r="489">
      <c r="A489" s="85"/>
      <c r="B489" s="69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</row>
    <row r="490">
      <c r="A490" s="85"/>
      <c r="B490" s="69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</row>
    <row r="491">
      <c r="A491" s="85"/>
      <c r="B491" s="69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</row>
    <row r="492">
      <c r="A492" s="85"/>
      <c r="B492" s="69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</row>
    <row r="493">
      <c r="A493" s="85"/>
      <c r="B493" s="69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</row>
    <row r="494">
      <c r="A494" s="85"/>
      <c r="B494" s="69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</row>
    <row r="495">
      <c r="A495" s="85"/>
      <c r="B495" s="69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</row>
    <row r="496">
      <c r="A496" s="85"/>
      <c r="B496" s="69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</row>
    <row r="497">
      <c r="A497" s="85"/>
      <c r="B497" s="69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</row>
    <row r="498">
      <c r="A498" s="85"/>
      <c r="B498" s="69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</row>
    <row r="499">
      <c r="A499" s="85"/>
      <c r="B499" s="69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</row>
    <row r="500">
      <c r="A500" s="85"/>
      <c r="B500" s="69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</row>
    <row r="501">
      <c r="A501" s="85"/>
      <c r="B501" s="69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</row>
    <row r="502">
      <c r="A502" s="85"/>
      <c r="B502" s="69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</row>
    <row r="503">
      <c r="A503" s="85"/>
      <c r="B503" s="69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</row>
    <row r="504">
      <c r="A504" s="85"/>
      <c r="B504" s="69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</row>
    <row r="505">
      <c r="A505" s="85"/>
      <c r="B505" s="69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</row>
    <row r="506">
      <c r="A506" s="85"/>
      <c r="B506" s="69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</row>
    <row r="507">
      <c r="A507" s="85"/>
      <c r="B507" s="69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</row>
    <row r="508">
      <c r="A508" s="85"/>
      <c r="B508" s="69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</row>
    <row r="509">
      <c r="A509" s="85"/>
      <c r="B509" s="69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</row>
    <row r="510">
      <c r="A510" s="85"/>
      <c r="B510" s="69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</row>
    <row r="511">
      <c r="A511" s="85"/>
      <c r="B511" s="69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</row>
    <row r="512">
      <c r="A512" s="85"/>
      <c r="B512" s="69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</row>
    <row r="513">
      <c r="A513" s="85"/>
      <c r="B513" s="69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</row>
    <row r="514">
      <c r="A514" s="85"/>
      <c r="B514" s="69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</row>
    <row r="515">
      <c r="A515" s="85"/>
      <c r="B515" s="69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</row>
    <row r="516">
      <c r="A516" s="85"/>
      <c r="B516" s="69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</row>
    <row r="517">
      <c r="A517" s="85"/>
      <c r="B517" s="69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</row>
    <row r="518">
      <c r="A518" s="85"/>
      <c r="B518" s="69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</row>
    <row r="519">
      <c r="A519" s="85"/>
      <c r="B519" s="69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</row>
    <row r="520">
      <c r="A520" s="85"/>
      <c r="B520" s="69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</row>
    <row r="521">
      <c r="A521" s="85"/>
      <c r="B521" s="69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</row>
    <row r="522">
      <c r="A522" s="85"/>
      <c r="B522" s="69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</row>
    <row r="523">
      <c r="A523" s="85"/>
      <c r="B523" s="69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</row>
    <row r="524">
      <c r="A524" s="85"/>
      <c r="B524" s="69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</row>
    <row r="525">
      <c r="A525" s="85"/>
      <c r="B525" s="69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</row>
    <row r="526">
      <c r="A526" s="85"/>
      <c r="B526" s="69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</row>
    <row r="527">
      <c r="A527" s="85"/>
      <c r="B527" s="69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</row>
    <row r="528">
      <c r="A528" s="85"/>
      <c r="B528" s="69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</row>
    <row r="529">
      <c r="A529" s="85"/>
      <c r="B529" s="69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</row>
    <row r="530">
      <c r="A530" s="85"/>
      <c r="B530" s="69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</row>
    <row r="531">
      <c r="A531" s="85"/>
      <c r="B531" s="69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</row>
    <row r="532">
      <c r="A532" s="85"/>
      <c r="B532" s="69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</row>
    <row r="533">
      <c r="A533" s="85"/>
      <c r="B533" s="69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</row>
    <row r="534">
      <c r="A534" s="85"/>
      <c r="B534" s="69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</row>
    <row r="535">
      <c r="A535" s="85"/>
      <c r="B535" s="69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</row>
    <row r="536">
      <c r="A536" s="85"/>
      <c r="B536" s="69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</row>
    <row r="537">
      <c r="A537" s="85"/>
      <c r="B537" s="69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</row>
    <row r="538">
      <c r="A538" s="85"/>
      <c r="B538" s="69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</row>
    <row r="539">
      <c r="A539" s="85"/>
      <c r="B539" s="69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</row>
    <row r="540">
      <c r="A540" s="85"/>
      <c r="B540" s="69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</row>
    <row r="541">
      <c r="A541" s="85"/>
      <c r="B541" s="69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</row>
    <row r="542">
      <c r="A542" s="85"/>
      <c r="B542" s="69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</row>
    <row r="543">
      <c r="A543" s="85"/>
      <c r="B543" s="69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</row>
    <row r="544">
      <c r="A544" s="85"/>
      <c r="B544" s="69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</row>
    <row r="545">
      <c r="A545" s="85"/>
      <c r="B545" s="69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</row>
    <row r="546">
      <c r="A546" s="85"/>
      <c r="B546" s="69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</row>
    <row r="547">
      <c r="A547" s="85"/>
      <c r="B547" s="69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</row>
    <row r="548">
      <c r="A548" s="85"/>
      <c r="B548" s="69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</row>
    <row r="549">
      <c r="A549" s="85"/>
      <c r="B549" s="69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</row>
    <row r="550">
      <c r="A550" s="85"/>
      <c r="B550" s="69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</row>
    <row r="551">
      <c r="A551" s="85"/>
      <c r="B551" s="69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</row>
    <row r="552">
      <c r="A552" s="85"/>
      <c r="B552" s="69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</row>
    <row r="553">
      <c r="A553" s="85"/>
      <c r="B553" s="69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</row>
    <row r="554">
      <c r="A554" s="85"/>
      <c r="B554" s="69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</row>
    <row r="555">
      <c r="A555" s="85"/>
      <c r="B555" s="69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</row>
    <row r="556">
      <c r="A556" s="85"/>
      <c r="B556" s="69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</row>
    <row r="557">
      <c r="A557" s="85"/>
      <c r="B557" s="69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</row>
    <row r="558">
      <c r="A558" s="85"/>
      <c r="B558" s="69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</row>
    <row r="559">
      <c r="A559" s="85"/>
      <c r="B559" s="69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</row>
    <row r="560">
      <c r="A560" s="85"/>
      <c r="B560" s="69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</row>
    <row r="561">
      <c r="A561" s="85"/>
      <c r="B561" s="69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</row>
    <row r="562">
      <c r="A562" s="85"/>
      <c r="B562" s="69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</row>
    <row r="563">
      <c r="A563" s="85"/>
      <c r="B563" s="69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</row>
    <row r="564">
      <c r="A564" s="85"/>
      <c r="B564" s="69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</row>
    <row r="565">
      <c r="A565" s="85"/>
      <c r="B565" s="69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</row>
    <row r="566">
      <c r="A566" s="85"/>
      <c r="B566" s="69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</row>
    <row r="567">
      <c r="A567" s="85"/>
      <c r="B567" s="69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</row>
    <row r="568">
      <c r="A568" s="85"/>
      <c r="B568" s="69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</row>
    <row r="569">
      <c r="A569" s="85"/>
      <c r="B569" s="69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</row>
    <row r="570">
      <c r="A570" s="85"/>
      <c r="B570" s="69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</row>
    <row r="571">
      <c r="A571" s="85"/>
      <c r="B571" s="69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</row>
    <row r="572">
      <c r="A572" s="85"/>
      <c r="B572" s="69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</row>
    <row r="573">
      <c r="A573" s="85"/>
      <c r="B573" s="69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</row>
    <row r="574">
      <c r="A574" s="85"/>
      <c r="B574" s="69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</row>
    <row r="575">
      <c r="A575" s="85"/>
      <c r="B575" s="69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</row>
    <row r="576">
      <c r="A576" s="85"/>
      <c r="B576" s="69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</row>
    <row r="577">
      <c r="A577" s="85"/>
      <c r="B577" s="69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</row>
    <row r="578">
      <c r="A578" s="85"/>
      <c r="B578" s="69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</row>
    <row r="579">
      <c r="A579" s="85"/>
      <c r="B579" s="69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</row>
    <row r="580">
      <c r="A580" s="85"/>
      <c r="B580" s="69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</row>
    <row r="581">
      <c r="A581" s="85"/>
      <c r="B581" s="69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</row>
    <row r="582">
      <c r="A582" s="85"/>
      <c r="B582" s="69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</row>
    <row r="583">
      <c r="A583" s="85"/>
      <c r="B583" s="69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</row>
    <row r="584">
      <c r="A584" s="85"/>
      <c r="B584" s="69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</row>
    <row r="585">
      <c r="A585" s="85"/>
      <c r="B585" s="69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</row>
    <row r="586">
      <c r="A586" s="85"/>
      <c r="B586" s="69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</row>
    <row r="587">
      <c r="A587" s="85"/>
      <c r="B587" s="69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</row>
    <row r="588">
      <c r="A588" s="85"/>
      <c r="B588" s="69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</row>
    <row r="589">
      <c r="A589" s="85"/>
      <c r="B589" s="69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</row>
    <row r="590">
      <c r="A590" s="85"/>
      <c r="B590" s="69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</row>
    <row r="591">
      <c r="A591" s="85"/>
      <c r="B591" s="69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</row>
    <row r="592">
      <c r="A592" s="85"/>
      <c r="B592" s="69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</row>
    <row r="593">
      <c r="A593" s="85"/>
      <c r="B593" s="69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</row>
    <row r="594">
      <c r="A594" s="85"/>
      <c r="B594" s="69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</row>
    <row r="595">
      <c r="A595" s="85"/>
      <c r="B595" s="69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</row>
    <row r="596">
      <c r="A596" s="85"/>
      <c r="B596" s="69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</row>
    <row r="597">
      <c r="A597" s="85"/>
      <c r="B597" s="69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</row>
    <row r="598">
      <c r="A598" s="85"/>
      <c r="B598" s="69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</row>
    <row r="599">
      <c r="A599" s="85"/>
      <c r="B599" s="69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</row>
    <row r="600">
      <c r="A600" s="85"/>
      <c r="B600" s="69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</row>
    <row r="601">
      <c r="A601" s="85"/>
      <c r="B601" s="69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</row>
    <row r="602">
      <c r="A602" s="85"/>
      <c r="B602" s="69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</row>
    <row r="603">
      <c r="A603" s="85"/>
      <c r="B603" s="69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</row>
    <row r="604">
      <c r="A604" s="85"/>
      <c r="B604" s="69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</row>
    <row r="605">
      <c r="A605" s="85"/>
      <c r="B605" s="69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</row>
    <row r="606">
      <c r="A606" s="85"/>
      <c r="B606" s="69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</row>
    <row r="607">
      <c r="A607" s="85"/>
      <c r="B607" s="69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</row>
    <row r="608">
      <c r="A608" s="85"/>
      <c r="B608" s="69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</row>
    <row r="609">
      <c r="A609" s="85"/>
      <c r="B609" s="69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</row>
    <row r="610">
      <c r="A610" s="85"/>
      <c r="B610" s="69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</row>
    <row r="611">
      <c r="A611" s="85"/>
      <c r="B611" s="69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</row>
    <row r="612">
      <c r="A612" s="85"/>
      <c r="B612" s="69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</row>
    <row r="613">
      <c r="A613" s="85"/>
      <c r="B613" s="69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</row>
    <row r="614">
      <c r="A614" s="85"/>
      <c r="B614" s="69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</row>
    <row r="615">
      <c r="A615" s="85"/>
      <c r="B615" s="69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</row>
    <row r="616">
      <c r="A616" s="85"/>
      <c r="B616" s="69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</row>
    <row r="617">
      <c r="A617" s="85"/>
      <c r="B617" s="69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</row>
    <row r="618">
      <c r="A618" s="85"/>
      <c r="B618" s="69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</row>
    <row r="619">
      <c r="A619" s="85"/>
      <c r="B619" s="69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</row>
    <row r="620">
      <c r="A620" s="85"/>
      <c r="B620" s="69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</row>
    <row r="621">
      <c r="A621" s="85"/>
      <c r="B621" s="69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</row>
    <row r="622">
      <c r="A622" s="85"/>
      <c r="B622" s="69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</row>
    <row r="623">
      <c r="A623" s="85"/>
      <c r="B623" s="69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</row>
    <row r="624">
      <c r="A624" s="85"/>
      <c r="B624" s="69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</row>
    <row r="625">
      <c r="A625" s="85"/>
      <c r="B625" s="69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</row>
    <row r="626">
      <c r="A626" s="85"/>
      <c r="B626" s="69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</row>
    <row r="627">
      <c r="A627" s="85"/>
      <c r="B627" s="69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</row>
    <row r="628">
      <c r="A628" s="85"/>
      <c r="B628" s="69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</row>
    <row r="629">
      <c r="A629" s="85"/>
      <c r="B629" s="69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</row>
    <row r="630">
      <c r="A630" s="85"/>
      <c r="B630" s="69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</row>
    <row r="631">
      <c r="A631" s="85"/>
      <c r="B631" s="69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</row>
    <row r="632">
      <c r="A632" s="85"/>
      <c r="B632" s="69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</row>
    <row r="633">
      <c r="A633" s="85"/>
      <c r="B633" s="69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</row>
    <row r="634">
      <c r="A634" s="85"/>
      <c r="B634" s="69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</row>
    <row r="635">
      <c r="A635" s="85"/>
      <c r="B635" s="69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</row>
    <row r="636">
      <c r="A636" s="85"/>
      <c r="B636" s="69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</row>
    <row r="637">
      <c r="A637" s="85"/>
      <c r="B637" s="69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</row>
    <row r="638">
      <c r="A638" s="85"/>
      <c r="B638" s="69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</row>
    <row r="639">
      <c r="A639" s="85"/>
      <c r="B639" s="69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</row>
    <row r="640">
      <c r="A640" s="85"/>
      <c r="B640" s="69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</row>
    <row r="641">
      <c r="A641" s="85"/>
      <c r="B641" s="69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</row>
    <row r="642">
      <c r="A642" s="85"/>
      <c r="B642" s="69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</row>
    <row r="643">
      <c r="A643" s="85"/>
      <c r="B643" s="69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</row>
    <row r="644">
      <c r="A644" s="85"/>
      <c r="B644" s="69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</row>
    <row r="645">
      <c r="A645" s="85"/>
      <c r="B645" s="69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</row>
    <row r="646">
      <c r="A646" s="85"/>
      <c r="B646" s="69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</row>
    <row r="647">
      <c r="A647" s="85"/>
      <c r="B647" s="69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</row>
    <row r="648">
      <c r="A648" s="85"/>
      <c r="B648" s="69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</row>
    <row r="649">
      <c r="A649" s="85"/>
      <c r="B649" s="69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</row>
    <row r="650">
      <c r="A650" s="85"/>
      <c r="B650" s="69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</row>
    <row r="651">
      <c r="A651" s="85"/>
      <c r="B651" s="69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</row>
    <row r="652">
      <c r="A652" s="85"/>
      <c r="B652" s="69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</row>
    <row r="653">
      <c r="A653" s="85"/>
      <c r="B653" s="69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</row>
    <row r="654">
      <c r="A654" s="85"/>
      <c r="B654" s="69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</row>
    <row r="655">
      <c r="A655" s="85"/>
      <c r="B655" s="69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</row>
    <row r="656">
      <c r="A656" s="85"/>
      <c r="B656" s="69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</row>
    <row r="657">
      <c r="A657" s="85"/>
      <c r="B657" s="69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</row>
    <row r="658">
      <c r="A658" s="85"/>
      <c r="B658" s="69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</row>
    <row r="659">
      <c r="A659" s="85"/>
      <c r="B659" s="69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</row>
    <row r="660">
      <c r="A660" s="85"/>
      <c r="B660" s="69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</row>
    <row r="661">
      <c r="A661" s="85"/>
      <c r="B661" s="69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</row>
    <row r="662">
      <c r="A662" s="85"/>
      <c r="B662" s="69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</row>
    <row r="663">
      <c r="A663" s="85"/>
      <c r="B663" s="69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</row>
    <row r="664">
      <c r="A664" s="85"/>
      <c r="B664" s="69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</row>
    <row r="665">
      <c r="A665" s="85"/>
      <c r="B665" s="69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</row>
    <row r="666">
      <c r="A666" s="85"/>
      <c r="B666" s="69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</row>
    <row r="667">
      <c r="A667" s="85"/>
      <c r="B667" s="69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</row>
    <row r="668">
      <c r="A668" s="85"/>
      <c r="B668" s="69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</row>
    <row r="669">
      <c r="A669" s="85"/>
      <c r="B669" s="69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</row>
    <row r="670">
      <c r="A670" s="85"/>
      <c r="B670" s="69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</row>
    <row r="671">
      <c r="A671" s="85"/>
      <c r="B671" s="69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</row>
    <row r="672">
      <c r="A672" s="85"/>
      <c r="B672" s="69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</row>
    <row r="673">
      <c r="A673" s="85"/>
      <c r="B673" s="69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</row>
    <row r="674">
      <c r="A674" s="85"/>
      <c r="B674" s="69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</row>
    <row r="675">
      <c r="A675" s="85"/>
      <c r="B675" s="69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</row>
    <row r="676">
      <c r="A676" s="85"/>
      <c r="B676" s="69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</row>
    <row r="677">
      <c r="A677" s="85"/>
      <c r="B677" s="69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</row>
    <row r="678">
      <c r="A678" s="85"/>
      <c r="B678" s="69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</row>
    <row r="679">
      <c r="A679" s="85"/>
      <c r="B679" s="69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</row>
    <row r="680">
      <c r="A680" s="85"/>
      <c r="B680" s="69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</row>
    <row r="681">
      <c r="A681" s="85"/>
      <c r="B681" s="69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</row>
    <row r="682">
      <c r="A682" s="85"/>
      <c r="B682" s="69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</row>
    <row r="683">
      <c r="A683" s="85"/>
      <c r="B683" s="69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</row>
    <row r="684">
      <c r="A684" s="85"/>
      <c r="B684" s="69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</row>
    <row r="685">
      <c r="A685" s="85"/>
      <c r="B685" s="69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</row>
    <row r="686">
      <c r="A686" s="85"/>
      <c r="B686" s="69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</row>
    <row r="687">
      <c r="A687" s="85"/>
      <c r="B687" s="69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</row>
    <row r="688">
      <c r="A688" s="85"/>
      <c r="B688" s="69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</row>
    <row r="689">
      <c r="A689" s="85"/>
      <c r="B689" s="69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</row>
    <row r="690">
      <c r="A690" s="85"/>
      <c r="B690" s="69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</row>
    <row r="691">
      <c r="A691" s="85"/>
      <c r="B691" s="69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</row>
    <row r="692">
      <c r="A692" s="85"/>
      <c r="B692" s="69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</row>
    <row r="693">
      <c r="A693" s="85"/>
      <c r="B693" s="69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</row>
    <row r="694">
      <c r="A694" s="85"/>
      <c r="B694" s="69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</row>
    <row r="695">
      <c r="A695" s="85"/>
      <c r="B695" s="69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</row>
    <row r="696">
      <c r="A696" s="85"/>
      <c r="B696" s="69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</row>
    <row r="697">
      <c r="A697" s="85"/>
      <c r="B697" s="69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</row>
    <row r="698">
      <c r="A698" s="85"/>
      <c r="B698" s="69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</row>
    <row r="699">
      <c r="A699" s="85"/>
      <c r="B699" s="69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</row>
    <row r="700">
      <c r="A700" s="85"/>
      <c r="B700" s="69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</row>
    <row r="701">
      <c r="A701" s="85"/>
      <c r="B701" s="69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</row>
    <row r="702">
      <c r="A702" s="85"/>
      <c r="B702" s="69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</row>
    <row r="703">
      <c r="A703" s="85"/>
      <c r="B703" s="69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</row>
    <row r="704">
      <c r="A704" s="85"/>
      <c r="B704" s="69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</row>
    <row r="705">
      <c r="A705" s="85"/>
      <c r="B705" s="69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</row>
    <row r="706">
      <c r="A706" s="85"/>
      <c r="B706" s="69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</row>
    <row r="707">
      <c r="A707" s="85"/>
      <c r="B707" s="69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</row>
    <row r="708">
      <c r="A708" s="85"/>
      <c r="B708" s="69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</row>
    <row r="709">
      <c r="A709" s="85"/>
      <c r="B709" s="69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</row>
    <row r="710">
      <c r="A710" s="85"/>
      <c r="B710" s="69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</row>
    <row r="711">
      <c r="A711" s="85"/>
      <c r="B711" s="69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</row>
    <row r="712">
      <c r="A712" s="85"/>
      <c r="B712" s="69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</row>
    <row r="713">
      <c r="A713" s="85"/>
      <c r="B713" s="69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</row>
    <row r="714">
      <c r="A714" s="85"/>
      <c r="B714" s="69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</row>
    <row r="715">
      <c r="A715" s="85"/>
      <c r="B715" s="69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</row>
    <row r="716">
      <c r="A716" s="85"/>
      <c r="B716" s="69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</row>
    <row r="717">
      <c r="A717" s="85"/>
      <c r="B717" s="69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</row>
    <row r="718">
      <c r="A718" s="85"/>
      <c r="B718" s="69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</row>
    <row r="719">
      <c r="A719" s="85"/>
      <c r="B719" s="69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</row>
    <row r="720">
      <c r="A720" s="85"/>
      <c r="B720" s="69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</row>
    <row r="721">
      <c r="A721" s="85"/>
      <c r="B721" s="69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</row>
    <row r="722">
      <c r="A722" s="85"/>
      <c r="B722" s="69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</row>
    <row r="723">
      <c r="A723" s="85"/>
      <c r="B723" s="69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</row>
    <row r="724">
      <c r="A724" s="85"/>
      <c r="B724" s="69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</row>
    <row r="725">
      <c r="A725" s="85"/>
      <c r="B725" s="69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</row>
    <row r="726">
      <c r="A726" s="85"/>
      <c r="B726" s="69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</row>
    <row r="727">
      <c r="A727" s="85"/>
      <c r="B727" s="69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</row>
    <row r="728">
      <c r="A728" s="85"/>
      <c r="B728" s="69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</row>
    <row r="729">
      <c r="A729" s="85"/>
      <c r="B729" s="69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</row>
    <row r="730">
      <c r="A730" s="85"/>
      <c r="B730" s="69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</row>
    <row r="731">
      <c r="A731" s="85"/>
      <c r="B731" s="69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</row>
    <row r="732">
      <c r="A732" s="85"/>
      <c r="B732" s="69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</row>
    <row r="733">
      <c r="A733" s="85"/>
      <c r="B733" s="69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</row>
    <row r="734">
      <c r="A734" s="85"/>
      <c r="B734" s="69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</row>
    <row r="735">
      <c r="A735" s="85"/>
      <c r="B735" s="69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</row>
    <row r="736">
      <c r="A736" s="85"/>
      <c r="B736" s="69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</row>
    <row r="737">
      <c r="A737" s="85"/>
      <c r="B737" s="69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</row>
    <row r="738">
      <c r="A738" s="85"/>
      <c r="B738" s="69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</row>
    <row r="739">
      <c r="A739" s="85"/>
      <c r="B739" s="69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</row>
    <row r="740">
      <c r="A740" s="85"/>
      <c r="B740" s="69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</row>
    <row r="741">
      <c r="A741" s="85"/>
      <c r="B741" s="69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</row>
    <row r="742">
      <c r="A742" s="85"/>
      <c r="B742" s="69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</row>
    <row r="743">
      <c r="A743" s="85"/>
      <c r="B743" s="69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</row>
    <row r="744">
      <c r="A744" s="85"/>
      <c r="B744" s="69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</row>
    <row r="745">
      <c r="A745" s="85"/>
      <c r="B745" s="69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</row>
    <row r="746">
      <c r="A746" s="85"/>
      <c r="B746" s="69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</row>
    <row r="747">
      <c r="A747" s="85"/>
      <c r="B747" s="69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</row>
    <row r="748">
      <c r="A748" s="85"/>
      <c r="B748" s="69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</row>
    <row r="749">
      <c r="A749" s="85"/>
      <c r="B749" s="69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</row>
    <row r="750">
      <c r="A750" s="85"/>
      <c r="B750" s="69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</row>
    <row r="751">
      <c r="A751" s="85"/>
      <c r="B751" s="69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</row>
    <row r="752">
      <c r="A752" s="85"/>
      <c r="B752" s="69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</row>
    <row r="753">
      <c r="A753" s="85"/>
      <c r="B753" s="69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</row>
    <row r="754">
      <c r="A754" s="85"/>
      <c r="B754" s="69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</row>
    <row r="755">
      <c r="A755" s="85"/>
      <c r="B755" s="69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</row>
    <row r="756">
      <c r="A756" s="85"/>
      <c r="B756" s="69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</row>
    <row r="757">
      <c r="A757" s="85"/>
      <c r="B757" s="69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</row>
    <row r="758">
      <c r="A758" s="85"/>
      <c r="B758" s="69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</row>
    <row r="759">
      <c r="A759" s="85"/>
      <c r="B759" s="69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</row>
    <row r="760">
      <c r="A760" s="85"/>
      <c r="B760" s="69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</row>
    <row r="761">
      <c r="A761" s="85"/>
      <c r="B761" s="69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</row>
    <row r="762">
      <c r="A762" s="85"/>
      <c r="B762" s="69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</row>
    <row r="763">
      <c r="A763" s="85"/>
      <c r="B763" s="69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</row>
    <row r="764">
      <c r="A764" s="85"/>
      <c r="B764" s="69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</row>
    <row r="765">
      <c r="A765" s="85"/>
      <c r="B765" s="69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</row>
    <row r="766">
      <c r="A766" s="85"/>
      <c r="B766" s="69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</row>
    <row r="767">
      <c r="A767" s="85"/>
      <c r="B767" s="69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</row>
    <row r="768">
      <c r="A768" s="85"/>
      <c r="B768" s="69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</row>
    <row r="769">
      <c r="A769" s="85"/>
      <c r="B769" s="69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</row>
    <row r="770">
      <c r="A770" s="85"/>
      <c r="B770" s="69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</row>
    <row r="771">
      <c r="A771" s="85"/>
      <c r="B771" s="69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</row>
    <row r="772">
      <c r="A772" s="85"/>
      <c r="B772" s="69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</row>
    <row r="773">
      <c r="A773" s="85"/>
      <c r="B773" s="69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</row>
    <row r="774">
      <c r="A774" s="85"/>
      <c r="B774" s="69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</row>
    <row r="775">
      <c r="A775" s="85"/>
      <c r="B775" s="69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</row>
    <row r="776">
      <c r="A776" s="85"/>
      <c r="B776" s="69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</row>
    <row r="777">
      <c r="A777" s="85"/>
      <c r="B777" s="69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</row>
    <row r="778">
      <c r="A778" s="85"/>
      <c r="B778" s="69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</row>
    <row r="779">
      <c r="A779" s="85"/>
      <c r="B779" s="69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</row>
    <row r="780">
      <c r="A780" s="85"/>
      <c r="B780" s="69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</row>
    <row r="781">
      <c r="A781" s="85"/>
      <c r="B781" s="69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</row>
    <row r="782">
      <c r="A782" s="85"/>
      <c r="B782" s="69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</row>
    <row r="783">
      <c r="A783" s="85"/>
      <c r="B783" s="69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</row>
    <row r="784">
      <c r="A784" s="85"/>
      <c r="B784" s="69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</row>
    <row r="785">
      <c r="A785" s="85"/>
      <c r="B785" s="69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</row>
    <row r="786">
      <c r="A786" s="85"/>
      <c r="B786" s="69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</row>
    <row r="787">
      <c r="A787" s="85"/>
      <c r="B787" s="69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</row>
    <row r="788">
      <c r="A788" s="85"/>
      <c r="B788" s="69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</row>
    <row r="789">
      <c r="A789" s="85"/>
      <c r="B789" s="69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</row>
    <row r="790">
      <c r="A790" s="85"/>
      <c r="B790" s="69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</row>
    <row r="791">
      <c r="A791" s="85"/>
      <c r="B791" s="69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</row>
    <row r="792">
      <c r="A792" s="85"/>
      <c r="B792" s="69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</row>
    <row r="793">
      <c r="A793" s="85"/>
      <c r="B793" s="69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</row>
    <row r="794">
      <c r="A794" s="85"/>
      <c r="B794" s="69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</row>
    <row r="795">
      <c r="A795" s="85"/>
      <c r="B795" s="69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</row>
    <row r="796">
      <c r="A796" s="85"/>
      <c r="B796" s="69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</row>
    <row r="797">
      <c r="A797" s="85"/>
      <c r="B797" s="69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</row>
    <row r="798">
      <c r="A798" s="85"/>
      <c r="B798" s="69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</row>
    <row r="799">
      <c r="A799" s="85"/>
      <c r="B799" s="69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</row>
    <row r="800">
      <c r="A800" s="85"/>
      <c r="B800" s="69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</row>
    <row r="801">
      <c r="A801" s="85"/>
      <c r="B801" s="69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</row>
    <row r="802">
      <c r="A802" s="85"/>
      <c r="B802" s="69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</row>
    <row r="803">
      <c r="A803" s="85"/>
      <c r="B803" s="69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</row>
    <row r="804">
      <c r="A804" s="85"/>
      <c r="B804" s="69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</row>
    <row r="805">
      <c r="A805" s="85"/>
      <c r="B805" s="69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</row>
    <row r="806">
      <c r="A806" s="85"/>
      <c r="B806" s="69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</row>
    <row r="807">
      <c r="A807" s="85"/>
      <c r="B807" s="69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</row>
    <row r="808">
      <c r="A808" s="85"/>
      <c r="B808" s="69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</row>
    <row r="809">
      <c r="A809" s="85"/>
      <c r="B809" s="69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</row>
    <row r="810">
      <c r="A810" s="85"/>
      <c r="B810" s="69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</row>
    <row r="811">
      <c r="A811" s="85"/>
      <c r="B811" s="69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</row>
    <row r="812">
      <c r="A812" s="85"/>
      <c r="B812" s="69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</row>
    <row r="813">
      <c r="A813" s="85"/>
      <c r="B813" s="69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</row>
    <row r="814">
      <c r="A814" s="85"/>
      <c r="B814" s="69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</row>
    <row r="815">
      <c r="A815" s="85"/>
      <c r="B815" s="69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</row>
    <row r="816">
      <c r="A816" s="85"/>
      <c r="B816" s="69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</row>
    <row r="817">
      <c r="A817" s="85"/>
      <c r="B817" s="69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</row>
    <row r="818">
      <c r="A818" s="85"/>
      <c r="B818" s="69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</row>
    <row r="819">
      <c r="A819" s="85"/>
      <c r="B819" s="69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</row>
    <row r="820">
      <c r="A820" s="85"/>
      <c r="B820" s="69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</row>
    <row r="821">
      <c r="A821" s="85"/>
      <c r="B821" s="69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</row>
    <row r="822">
      <c r="A822" s="85"/>
      <c r="B822" s="69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</row>
    <row r="823">
      <c r="A823" s="85"/>
      <c r="B823" s="69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</row>
    <row r="824">
      <c r="A824" s="85"/>
      <c r="B824" s="69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</row>
    <row r="825">
      <c r="A825" s="85"/>
      <c r="B825" s="69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</row>
    <row r="826">
      <c r="A826" s="85"/>
      <c r="B826" s="69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</row>
    <row r="827">
      <c r="A827" s="85"/>
      <c r="B827" s="69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</row>
    <row r="828">
      <c r="A828" s="85"/>
      <c r="B828" s="69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</row>
    <row r="829">
      <c r="A829" s="85"/>
      <c r="B829" s="69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</row>
    <row r="830">
      <c r="A830" s="85"/>
      <c r="B830" s="69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</row>
    <row r="831">
      <c r="A831" s="85"/>
      <c r="B831" s="69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</row>
    <row r="832">
      <c r="A832" s="85"/>
      <c r="B832" s="69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</row>
    <row r="833">
      <c r="A833" s="85"/>
      <c r="B833" s="69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</row>
    <row r="834">
      <c r="A834" s="85"/>
      <c r="B834" s="69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</row>
    <row r="835">
      <c r="A835" s="85"/>
      <c r="B835" s="69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</row>
    <row r="836">
      <c r="A836" s="85"/>
      <c r="B836" s="69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</row>
    <row r="837">
      <c r="A837" s="85"/>
      <c r="B837" s="69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</row>
    <row r="838">
      <c r="A838" s="85"/>
      <c r="B838" s="69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</row>
    <row r="839">
      <c r="A839" s="85"/>
      <c r="B839" s="69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</row>
    <row r="840">
      <c r="A840" s="85"/>
      <c r="B840" s="69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</row>
    <row r="841">
      <c r="A841" s="85"/>
      <c r="B841" s="69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</row>
    <row r="842">
      <c r="A842" s="85"/>
      <c r="B842" s="69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</row>
    <row r="843">
      <c r="A843" s="85"/>
      <c r="B843" s="69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</row>
    <row r="844">
      <c r="A844" s="85"/>
      <c r="B844" s="69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</row>
    <row r="845">
      <c r="A845" s="85"/>
      <c r="B845" s="69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</row>
    <row r="846">
      <c r="A846" s="85"/>
      <c r="B846" s="69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</row>
    <row r="847">
      <c r="A847" s="85"/>
      <c r="B847" s="69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</row>
    <row r="848">
      <c r="A848" s="85"/>
      <c r="B848" s="69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</row>
    <row r="849">
      <c r="A849" s="85"/>
      <c r="B849" s="69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</row>
    <row r="850">
      <c r="A850" s="85"/>
      <c r="B850" s="69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</row>
    <row r="851">
      <c r="A851" s="85"/>
      <c r="B851" s="69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</row>
    <row r="852">
      <c r="A852" s="85"/>
      <c r="B852" s="69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</row>
    <row r="853">
      <c r="A853" s="85"/>
      <c r="B853" s="69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</row>
    <row r="854">
      <c r="A854" s="85"/>
      <c r="B854" s="69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</row>
    <row r="855">
      <c r="A855" s="85"/>
      <c r="B855" s="69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</row>
    <row r="856">
      <c r="A856" s="85"/>
      <c r="B856" s="69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</row>
    <row r="857">
      <c r="A857" s="85"/>
      <c r="B857" s="69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</row>
    <row r="858">
      <c r="A858" s="85"/>
      <c r="B858" s="69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</row>
    <row r="859">
      <c r="A859" s="85"/>
      <c r="B859" s="69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</row>
    <row r="860">
      <c r="A860" s="85"/>
      <c r="B860" s="69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</row>
    <row r="861">
      <c r="A861" s="85"/>
      <c r="B861" s="69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</row>
    <row r="862">
      <c r="A862" s="85"/>
      <c r="B862" s="69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</row>
    <row r="863">
      <c r="A863" s="85"/>
      <c r="B863" s="69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</row>
    <row r="864">
      <c r="A864" s="85"/>
      <c r="B864" s="69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</row>
    <row r="865">
      <c r="A865" s="85"/>
      <c r="B865" s="69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</row>
    <row r="866">
      <c r="A866" s="85"/>
      <c r="B866" s="69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</row>
    <row r="867">
      <c r="A867" s="85"/>
      <c r="B867" s="69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</row>
    <row r="868">
      <c r="A868" s="85"/>
      <c r="B868" s="69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</row>
    <row r="869">
      <c r="A869" s="85"/>
      <c r="B869" s="69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</row>
    <row r="870">
      <c r="A870" s="85"/>
      <c r="B870" s="69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</row>
    <row r="871">
      <c r="A871" s="85"/>
      <c r="B871" s="69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</row>
    <row r="872">
      <c r="A872" s="85"/>
      <c r="B872" s="69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</row>
    <row r="873">
      <c r="A873" s="85"/>
      <c r="B873" s="69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</row>
    <row r="874">
      <c r="A874" s="85"/>
      <c r="B874" s="69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</row>
    <row r="875">
      <c r="A875" s="85"/>
      <c r="B875" s="69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</row>
    <row r="876">
      <c r="A876" s="85"/>
      <c r="B876" s="69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</row>
    <row r="877">
      <c r="A877" s="85"/>
      <c r="B877" s="69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</row>
    <row r="878">
      <c r="A878" s="85"/>
      <c r="B878" s="69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</row>
    <row r="879">
      <c r="A879" s="85"/>
      <c r="B879" s="69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</row>
    <row r="880">
      <c r="A880" s="85"/>
      <c r="B880" s="69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</row>
    <row r="881">
      <c r="A881" s="85"/>
      <c r="B881" s="69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</row>
    <row r="882">
      <c r="A882" s="85"/>
      <c r="B882" s="69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</row>
    <row r="883">
      <c r="A883" s="85"/>
      <c r="B883" s="69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</row>
    <row r="884">
      <c r="A884" s="85"/>
      <c r="B884" s="69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</row>
    <row r="885">
      <c r="A885" s="85"/>
      <c r="B885" s="69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</row>
    <row r="886">
      <c r="A886" s="85"/>
      <c r="B886" s="69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</row>
    <row r="887">
      <c r="A887" s="85"/>
      <c r="B887" s="69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</row>
    <row r="888">
      <c r="A888" s="85"/>
      <c r="B888" s="69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</row>
    <row r="889">
      <c r="A889" s="85"/>
      <c r="B889" s="69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</row>
    <row r="890">
      <c r="A890" s="85"/>
      <c r="B890" s="69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</row>
    <row r="891">
      <c r="A891" s="85"/>
      <c r="B891" s="69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</row>
    <row r="892">
      <c r="A892" s="85"/>
      <c r="B892" s="69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</row>
    <row r="893">
      <c r="A893" s="85"/>
      <c r="B893" s="69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</row>
    <row r="894">
      <c r="A894" s="85"/>
      <c r="B894" s="69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</row>
    <row r="895">
      <c r="A895" s="85"/>
      <c r="B895" s="69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</row>
    <row r="896">
      <c r="A896" s="85"/>
      <c r="B896" s="69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</row>
    <row r="897">
      <c r="A897" s="85"/>
      <c r="B897" s="69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</row>
    <row r="898">
      <c r="A898" s="85"/>
      <c r="B898" s="69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</row>
    <row r="899">
      <c r="A899" s="85"/>
      <c r="B899" s="69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</row>
    <row r="900">
      <c r="A900" s="85"/>
      <c r="B900" s="69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</row>
    <row r="901">
      <c r="A901" s="85"/>
      <c r="B901" s="69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</row>
    <row r="902">
      <c r="A902" s="85"/>
      <c r="B902" s="69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</row>
    <row r="903">
      <c r="A903" s="85"/>
      <c r="B903" s="69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</row>
    <row r="904">
      <c r="A904" s="85"/>
      <c r="B904" s="69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</row>
    <row r="905">
      <c r="A905" s="85"/>
      <c r="B905" s="69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</row>
    <row r="906">
      <c r="A906" s="85"/>
      <c r="B906" s="69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</row>
    <row r="907">
      <c r="A907" s="85"/>
      <c r="B907" s="69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</row>
    <row r="908">
      <c r="A908" s="85"/>
      <c r="B908" s="69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</row>
    <row r="909">
      <c r="A909" s="85"/>
      <c r="B909" s="69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</row>
    <row r="910">
      <c r="A910" s="85"/>
      <c r="B910" s="69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</row>
    <row r="911">
      <c r="A911" s="85"/>
      <c r="B911" s="69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</row>
    <row r="912">
      <c r="A912" s="85"/>
      <c r="B912" s="69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</row>
    <row r="913">
      <c r="A913" s="85"/>
      <c r="B913" s="69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</row>
    <row r="914">
      <c r="A914" s="85"/>
      <c r="B914" s="69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</row>
    <row r="915">
      <c r="A915" s="85"/>
      <c r="B915" s="69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</row>
    <row r="916">
      <c r="A916" s="85"/>
      <c r="B916" s="69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</row>
    <row r="917">
      <c r="A917" s="85"/>
      <c r="B917" s="69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</row>
    <row r="918">
      <c r="A918" s="85"/>
      <c r="B918" s="69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</row>
    <row r="919">
      <c r="A919" s="85"/>
      <c r="B919" s="69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</row>
    <row r="920">
      <c r="A920" s="85"/>
      <c r="B920" s="69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</row>
    <row r="921">
      <c r="A921" s="85"/>
      <c r="B921" s="69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</row>
    <row r="922">
      <c r="A922" s="85"/>
      <c r="B922" s="69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</row>
    <row r="923">
      <c r="A923" s="85"/>
      <c r="B923" s="69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</row>
    <row r="924">
      <c r="A924" s="85"/>
      <c r="B924" s="69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</row>
    <row r="925">
      <c r="A925" s="85"/>
      <c r="B925" s="69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</row>
    <row r="926">
      <c r="A926" s="85"/>
      <c r="B926" s="69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</row>
    <row r="927">
      <c r="A927" s="85"/>
      <c r="B927" s="69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</row>
    <row r="928">
      <c r="A928" s="85"/>
      <c r="B928" s="69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</row>
    <row r="929">
      <c r="A929" s="85"/>
      <c r="B929" s="69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</row>
    <row r="930">
      <c r="A930" s="85"/>
      <c r="B930" s="69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</row>
    <row r="931">
      <c r="A931" s="85"/>
      <c r="B931" s="69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</row>
    <row r="932">
      <c r="A932" s="85"/>
      <c r="B932" s="69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</row>
    <row r="933">
      <c r="A933" s="85"/>
      <c r="B933" s="69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</row>
    <row r="934">
      <c r="A934" s="85"/>
      <c r="B934" s="69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</row>
    <row r="935">
      <c r="A935" s="85"/>
      <c r="B935" s="69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</row>
    <row r="936">
      <c r="A936" s="85"/>
      <c r="B936" s="69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</row>
    <row r="937">
      <c r="A937" s="85"/>
      <c r="B937" s="69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</row>
    <row r="938">
      <c r="A938" s="85"/>
      <c r="B938" s="69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</row>
    <row r="939">
      <c r="A939" s="85"/>
      <c r="B939" s="69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</row>
    <row r="940">
      <c r="A940" s="85"/>
      <c r="B940" s="69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</row>
    <row r="941">
      <c r="A941" s="85"/>
      <c r="B941" s="69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</row>
    <row r="942">
      <c r="A942" s="85"/>
      <c r="B942" s="69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</row>
    <row r="943">
      <c r="A943" s="85"/>
      <c r="B943" s="69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</row>
    <row r="944">
      <c r="A944" s="85"/>
      <c r="B944" s="69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</row>
    <row r="945">
      <c r="A945" s="85"/>
      <c r="B945" s="69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</row>
    <row r="946">
      <c r="A946" s="85"/>
      <c r="B946" s="69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</row>
    <row r="947">
      <c r="A947" s="85"/>
      <c r="B947" s="69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</row>
    <row r="948">
      <c r="A948" s="85"/>
      <c r="B948" s="69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</row>
    <row r="949">
      <c r="A949" s="85"/>
      <c r="B949" s="69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</row>
    <row r="950">
      <c r="A950" s="85"/>
      <c r="B950" s="69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</row>
    <row r="951">
      <c r="A951" s="85"/>
      <c r="B951" s="69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</row>
    <row r="952">
      <c r="A952" s="85"/>
      <c r="B952" s="69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</row>
    <row r="953">
      <c r="A953" s="85"/>
      <c r="B953" s="69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</row>
    <row r="954">
      <c r="A954" s="85"/>
      <c r="B954" s="69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</row>
    <row r="955">
      <c r="A955" s="85"/>
      <c r="B955" s="69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</row>
    <row r="956">
      <c r="A956" s="85"/>
      <c r="B956" s="69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</row>
    <row r="957">
      <c r="A957" s="85"/>
      <c r="B957" s="69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</row>
    <row r="958">
      <c r="A958" s="85"/>
      <c r="B958" s="69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</row>
    <row r="959">
      <c r="A959" s="85"/>
      <c r="B959" s="69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</row>
    <row r="960">
      <c r="A960" s="85"/>
      <c r="B960" s="69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</row>
    <row r="961">
      <c r="A961" s="85"/>
      <c r="B961" s="69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</row>
    <row r="962">
      <c r="A962" s="85"/>
      <c r="B962" s="69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</row>
    <row r="963">
      <c r="A963" s="85"/>
      <c r="B963" s="69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</row>
    <row r="964">
      <c r="A964" s="85"/>
      <c r="B964" s="69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</row>
    <row r="965">
      <c r="A965" s="85"/>
      <c r="B965" s="69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</row>
    <row r="966">
      <c r="A966" s="85"/>
      <c r="B966" s="69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</row>
    <row r="967">
      <c r="A967" s="85"/>
      <c r="B967" s="69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</row>
    <row r="968">
      <c r="A968" s="85"/>
      <c r="B968" s="69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</row>
    <row r="969">
      <c r="A969" s="85"/>
      <c r="B969" s="69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</row>
    <row r="970">
      <c r="A970" s="85"/>
      <c r="B970" s="69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</row>
    <row r="971">
      <c r="A971" s="85"/>
      <c r="B971" s="69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</row>
    <row r="972">
      <c r="A972" s="85"/>
      <c r="B972" s="69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</row>
    <row r="973">
      <c r="A973" s="85"/>
      <c r="B973" s="69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</row>
    <row r="974">
      <c r="A974" s="85"/>
      <c r="B974" s="69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</row>
    <row r="975">
      <c r="A975" s="85"/>
      <c r="B975" s="69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</row>
    <row r="976">
      <c r="A976" s="85"/>
      <c r="B976" s="69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</row>
    <row r="977">
      <c r="A977" s="85"/>
      <c r="B977" s="69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</row>
    <row r="978">
      <c r="A978" s="85"/>
      <c r="B978" s="69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</row>
    <row r="979">
      <c r="A979" s="85"/>
      <c r="B979" s="69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</row>
    <row r="980">
      <c r="A980" s="85"/>
      <c r="B980" s="69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</row>
    <row r="981">
      <c r="A981" s="85"/>
      <c r="B981" s="69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</row>
    <row r="982">
      <c r="A982" s="85"/>
      <c r="B982" s="69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</row>
    <row r="983">
      <c r="A983" s="85"/>
      <c r="B983" s="69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</row>
    <row r="984">
      <c r="A984" s="85"/>
      <c r="B984" s="69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</row>
    <row r="985">
      <c r="A985" s="85"/>
      <c r="B985" s="69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</row>
    <row r="986">
      <c r="A986" s="85"/>
      <c r="B986" s="69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</row>
    <row r="987">
      <c r="A987" s="85"/>
      <c r="B987" s="69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</row>
    <row r="988">
      <c r="A988" s="85"/>
      <c r="B988" s="69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</row>
    <row r="989">
      <c r="A989" s="85"/>
      <c r="B989" s="69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</row>
    <row r="990">
      <c r="A990" s="85"/>
      <c r="B990" s="69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</row>
    <row r="991">
      <c r="A991" s="85"/>
      <c r="B991" s="69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</row>
    <row r="992">
      <c r="A992" s="85"/>
      <c r="B992" s="69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</row>
    <row r="993">
      <c r="A993" s="85"/>
      <c r="B993" s="69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</row>
    <row r="994">
      <c r="A994" s="85"/>
      <c r="B994" s="69"/>
      <c r="C994" s="115"/>
      <c r="D994" s="115"/>
      <c r="E994" s="115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</row>
    <row r="995">
      <c r="A995" s="85"/>
      <c r="B995" s="69"/>
      <c r="C995" s="115"/>
      <c r="D995" s="115"/>
      <c r="E995" s="115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</row>
    <row r="996">
      <c r="A996" s="85"/>
      <c r="B996" s="69"/>
      <c r="C996" s="115"/>
      <c r="D996" s="115"/>
      <c r="E996" s="115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</row>
    <row r="997">
      <c r="A997" s="85"/>
      <c r="B997" s="69"/>
      <c r="C997" s="115"/>
      <c r="D997" s="115"/>
      <c r="E997" s="115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</row>
    <row r="998">
      <c r="A998" s="85"/>
      <c r="B998" s="69"/>
      <c r="C998" s="115"/>
      <c r="D998" s="115"/>
      <c r="E998" s="115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</row>
    <row r="999">
      <c r="A999" s="85"/>
      <c r="B999" s="69"/>
      <c r="C999" s="115"/>
      <c r="D999" s="115"/>
      <c r="E999" s="115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</row>
    <row r="1000">
      <c r="A1000" s="85"/>
      <c r="B1000" s="69"/>
      <c r="C1000" s="115"/>
      <c r="D1000" s="115"/>
      <c r="E1000" s="115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</row>
    <row r="1001">
      <c r="A1001" s="85"/>
      <c r="B1001" s="69"/>
      <c r="C1001" s="115"/>
      <c r="D1001" s="115"/>
      <c r="E1001" s="115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</row>
  </sheetData>
  <conditionalFormatting sqref="C3:AA68">
    <cfRule type="colorScale" priority="1">
      <colorScale>
        <cfvo type="min"/>
        <cfvo type="max"/>
        <color rgb="FFFFFFFF"/>
        <color rgb="FF57BB8A"/>
      </colorScale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5"/>
    <col customWidth="1" min="2" max="2" width="3.38"/>
    <col customWidth="1" min="3" max="4" width="7.0"/>
    <col customWidth="1" min="5" max="10" width="13.75"/>
  </cols>
  <sheetData>
    <row r="1">
      <c r="A1" s="35"/>
      <c r="B1" s="5"/>
      <c r="C1" s="70"/>
      <c r="D1" s="71"/>
      <c r="E1" s="72"/>
      <c r="F1" s="35"/>
      <c r="G1" s="35"/>
      <c r="H1" s="35"/>
      <c r="I1" s="35"/>
      <c r="J1" s="35"/>
    </row>
    <row r="2">
      <c r="A2" s="34" t="s">
        <v>310</v>
      </c>
      <c r="B2" s="5"/>
      <c r="C2" s="73">
        <v>4.0</v>
      </c>
      <c r="D2" s="74"/>
      <c r="E2" s="75" t="s">
        <v>311</v>
      </c>
    </row>
    <row r="3">
      <c r="A3" s="34" t="s">
        <v>312</v>
      </c>
      <c r="B3" s="5"/>
      <c r="C3" s="76">
        <v>0.5</v>
      </c>
      <c r="D3" s="74"/>
      <c r="E3" s="75" t="s">
        <v>313</v>
      </c>
    </row>
    <row r="4">
      <c r="A4" s="34" t="s">
        <v>314</v>
      </c>
      <c r="B4" s="5"/>
      <c r="C4" s="73">
        <v>2.25</v>
      </c>
      <c r="D4" s="74"/>
      <c r="E4" s="75" t="s">
        <v>315</v>
      </c>
    </row>
    <row r="5">
      <c r="A5" s="34" t="s">
        <v>316</v>
      </c>
      <c r="B5" s="5"/>
      <c r="C5" s="73">
        <f>2 / C3</f>
        <v>4</v>
      </c>
      <c r="D5" s="74"/>
      <c r="E5" s="75" t="s">
        <v>319</v>
      </c>
    </row>
    <row r="6">
      <c r="A6" s="34" t="s">
        <v>320</v>
      </c>
      <c r="B6" s="5"/>
      <c r="C6" s="73">
        <v>5.0</v>
      </c>
      <c r="D6" s="74"/>
      <c r="E6" s="75" t="s">
        <v>321</v>
      </c>
    </row>
    <row r="7">
      <c r="D7" s="74"/>
    </row>
    <row r="8">
      <c r="A8" s="35"/>
      <c r="B8" s="5"/>
      <c r="C8" s="77"/>
      <c r="D8" s="74"/>
      <c r="E8" s="78"/>
    </row>
    <row r="9">
      <c r="A9" s="34" t="s">
        <v>322</v>
      </c>
      <c r="B9" s="5"/>
      <c r="C9" s="77">
        <f>C2/C6</f>
        <v>0.8</v>
      </c>
      <c r="D9" s="74"/>
      <c r="E9" s="78"/>
    </row>
    <row r="10">
      <c r="A10" s="34" t="s">
        <v>326</v>
      </c>
      <c r="B10" s="1">
        <v>1.0</v>
      </c>
      <c r="C10" s="73">
        <f>C2-C9*0.5</f>
        <v>3.6</v>
      </c>
      <c r="D10" s="74"/>
      <c r="E10" s="75" t="s">
        <v>327</v>
      </c>
    </row>
    <row r="11">
      <c r="A11" s="34" t="s">
        <v>326</v>
      </c>
      <c r="B11" s="1">
        <v>2.0</v>
      </c>
      <c r="C11" s="73">
        <f t="shared" ref="C11:C14" si="1">C10-$C$9</f>
        <v>2.8</v>
      </c>
      <c r="D11" s="74"/>
      <c r="E11" s="78"/>
    </row>
    <row r="12">
      <c r="A12" s="34" t="s">
        <v>326</v>
      </c>
      <c r="B12" s="1">
        <v>3.0</v>
      </c>
      <c r="C12" s="73">
        <f t="shared" si="1"/>
        <v>2</v>
      </c>
      <c r="D12" s="74"/>
      <c r="E12" s="78"/>
    </row>
    <row r="13">
      <c r="A13" s="34" t="s">
        <v>326</v>
      </c>
      <c r="B13" s="1">
        <v>4.0</v>
      </c>
      <c r="C13" s="73">
        <f t="shared" si="1"/>
        <v>1.2</v>
      </c>
      <c r="D13" s="74"/>
      <c r="E13" s="78"/>
    </row>
    <row r="14">
      <c r="A14" s="34" t="s">
        <v>326</v>
      </c>
      <c r="B14" s="1">
        <v>5.0</v>
      </c>
      <c r="C14" s="73">
        <f t="shared" si="1"/>
        <v>0.4</v>
      </c>
      <c r="D14" s="74"/>
    </row>
    <row r="15">
      <c r="B15" s="23"/>
      <c r="C15" s="23"/>
      <c r="D15" s="74"/>
    </row>
    <row r="16">
      <c r="A16" s="34" t="s">
        <v>331</v>
      </c>
      <c r="B16" s="5"/>
      <c r="C16" s="77">
        <f>C3*C4*C5</f>
        <v>4.5</v>
      </c>
      <c r="D16" s="74"/>
      <c r="E16" s="75" t="s">
        <v>334</v>
      </c>
    </row>
    <row r="17">
      <c r="A17" s="34" t="s">
        <v>335</v>
      </c>
      <c r="B17" s="5"/>
      <c r="C17" s="73">
        <v>1.0</v>
      </c>
      <c r="D17" s="74"/>
      <c r="E17" s="75" t="s">
        <v>336</v>
      </c>
    </row>
    <row r="18">
      <c r="A18" s="34" t="s">
        <v>337</v>
      </c>
      <c r="B18" s="5"/>
      <c r="C18" s="73">
        <v>1.5</v>
      </c>
      <c r="D18" s="74"/>
      <c r="E18" s="75" t="s">
        <v>338</v>
      </c>
    </row>
    <row r="19">
      <c r="A19" s="34" t="s">
        <v>339</v>
      </c>
      <c r="B19" s="5"/>
      <c r="C19" s="77">
        <f>(C16+C17) * C18</f>
        <v>8.25</v>
      </c>
      <c r="D19" s="74"/>
      <c r="E19" s="75"/>
    </row>
    <row r="20">
      <c r="B20" s="23"/>
      <c r="C20" s="23"/>
      <c r="D20" s="74"/>
      <c r="E20" s="78"/>
    </row>
    <row r="21">
      <c r="A21" s="34" t="s">
        <v>342</v>
      </c>
      <c r="B21" s="5"/>
      <c r="C21" s="77">
        <f>SUM(C10:C14)</f>
        <v>10</v>
      </c>
      <c r="D21" s="74"/>
      <c r="E21" s="75" t="s">
        <v>344</v>
      </c>
    </row>
    <row r="22">
      <c r="A22" s="34" t="s">
        <v>345</v>
      </c>
      <c r="B22" s="5"/>
      <c r="C22" s="77">
        <f>C21*C19</f>
        <v>82.5</v>
      </c>
      <c r="D22" s="74"/>
      <c r="E22" s="75"/>
    </row>
    <row r="23">
      <c r="A23" s="34" t="s">
        <v>347</v>
      </c>
      <c r="B23" s="5"/>
      <c r="C23" s="77">
        <f>C2*C6</f>
        <v>20</v>
      </c>
      <c r="D23" s="74"/>
      <c r="E23" s="75"/>
    </row>
    <row r="24">
      <c r="A24" s="34" t="s">
        <v>350</v>
      </c>
      <c r="B24" s="5"/>
      <c r="C24" s="77">
        <f>C23*C19</f>
        <v>165</v>
      </c>
      <c r="D24" s="74"/>
      <c r="E24" s="75"/>
    </row>
    <row r="25">
      <c r="A25" s="34"/>
      <c r="B25" s="5"/>
      <c r="C25" s="77"/>
      <c r="D25" s="74"/>
      <c r="E25" s="75"/>
    </row>
    <row r="26">
      <c r="A26" s="34" t="s">
        <v>352</v>
      </c>
      <c r="B26" s="5"/>
      <c r="C26" s="77">
        <f>C22 / C2</f>
        <v>20.625</v>
      </c>
      <c r="D26" s="74"/>
      <c r="E26" s="75" t="s">
        <v>353</v>
      </c>
    </row>
    <row r="27">
      <c r="A27" s="34" t="s">
        <v>354</v>
      </c>
      <c r="B27" s="5"/>
      <c r="C27" s="73">
        <v>10.0</v>
      </c>
      <c r="D27" s="74"/>
      <c r="E27" s="75" t="s">
        <v>356</v>
      </c>
    </row>
    <row r="28">
      <c r="A28" s="34" t="s">
        <v>357</v>
      </c>
      <c r="B28" s="5"/>
      <c r="C28" s="73">
        <f>'THE TABEL'!B5</f>
        <v>2</v>
      </c>
      <c r="D28" s="74"/>
      <c r="E28" s="75" t="s">
        <v>358</v>
      </c>
    </row>
    <row r="29">
      <c r="A29" s="34" t="s">
        <v>359</v>
      </c>
      <c r="B29" s="5"/>
      <c r="C29" s="73">
        <f>C27*C28</f>
        <v>20</v>
      </c>
      <c r="D29" s="74"/>
      <c r="E29" s="75"/>
    </row>
    <row r="30">
      <c r="A30" s="34" t="s">
        <v>362</v>
      </c>
      <c r="B30" s="5"/>
      <c r="C30" s="73">
        <v>3.0</v>
      </c>
      <c r="D30" s="74"/>
      <c r="E30" s="75" t="s">
        <v>363</v>
      </c>
    </row>
    <row r="31">
      <c r="B31" s="23"/>
      <c r="C31" s="23"/>
      <c r="D31" s="74"/>
    </row>
    <row r="32">
      <c r="A32" s="34" t="s">
        <v>365</v>
      </c>
      <c r="B32" s="5"/>
      <c r="C32" s="77">
        <f>C5*C30 + C29</f>
        <v>32</v>
      </c>
      <c r="D32" s="74"/>
      <c r="E32" s="75"/>
    </row>
    <row r="33">
      <c r="A33" s="34" t="s">
        <v>368</v>
      </c>
      <c r="B33" s="5"/>
      <c r="C33" s="77">
        <f>C32/C26</f>
        <v>1.551515152</v>
      </c>
      <c r="D33" s="74"/>
      <c r="E33" s="75" t="s">
        <v>370</v>
      </c>
    </row>
    <row r="34">
      <c r="A34" s="79"/>
      <c r="B34" s="80"/>
      <c r="C34" s="81"/>
      <c r="D34" s="82"/>
      <c r="E34" s="83"/>
      <c r="F34" s="84"/>
      <c r="G34" s="84"/>
      <c r="H34" s="84"/>
      <c r="I34" s="84"/>
      <c r="J34" s="84"/>
    </row>
    <row r="35">
      <c r="A35" s="35"/>
      <c r="B35" s="5"/>
      <c r="C35" s="77"/>
      <c r="D35" s="74"/>
      <c r="E35" s="78"/>
    </row>
    <row r="36">
      <c r="A36" s="34" t="s">
        <v>374</v>
      </c>
      <c r="B36" s="5"/>
      <c r="C36" s="73">
        <v>0.5</v>
      </c>
      <c r="D36" s="74"/>
      <c r="E36" s="78"/>
    </row>
    <row r="37">
      <c r="A37" s="34" t="s">
        <v>376</v>
      </c>
      <c r="B37" s="5"/>
      <c r="C37" s="73">
        <f>1/6</f>
        <v>0.1666666667</v>
      </c>
      <c r="D37" s="74"/>
      <c r="E37" s="78"/>
    </row>
    <row r="38">
      <c r="A38" s="34" t="s">
        <v>377</v>
      </c>
      <c r="B38" s="5"/>
      <c r="C38" s="73">
        <v>3.0</v>
      </c>
      <c r="D38" s="74"/>
      <c r="E38" s="78"/>
    </row>
    <row r="39">
      <c r="A39" s="34" t="s">
        <v>379</v>
      </c>
      <c r="B39" s="5"/>
      <c r="C39" s="73">
        <v>30.0</v>
      </c>
      <c r="D39" s="74"/>
      <c r="E39" s="78"/>
    </row>
    <row r="40">
      <c r="A40" s="35"/>
      <c r="B40" s="5"/>
      <c r="C40" s="77"/>
      <c r="D40" s="74"/>
      <c r="E40" s="78"/>
    </row>
    <row r="41">
      <c r="A41" s="34" t="s">
        <v>381</v>
      </c>
      <c r="B41" s="5"/>
      <c r="C41" s="77">
        <f>C36*C38+C37*C39</f>
        <v>6.5</v>
      </c>
      <c r="D41" s="74"/>
      <c r="E41" s="78"/>
    </row>
    <row r="42">
      <c r="A42" s="35"/>
      <c r="B42" s="5"/>
      <c r="C42" s="77"/>
      <c r="D42" s="74"/>
      <c r="E42" s="78"/>
    </row>
    <row r="43">
      <c r="A43" s="34" t="s">
        <v>382</v>
      </c>
      <c r="B43" s="5"/>
      <c r="C43" s="77">
        <f>2/3</f>
        <v>0.6666666667</v>
      </c>
      <c r="D43" s="74"/>
      <c r="E43" s="78"/>
    </row>
    <row r="44">
      <c r="A44" s="34" t="s">
        <v>384</v>
      </c>
      <c r="B44" s="5"/>
      <c r="C44" s="77">
        <f>C41*C43</f>
        <v>4.333333333</v>
      </c>
      <c r="D44" s="74"/>
      <c r="E44" s="78"/>
    </row>
    <row r="45">
      <c r="A45" s="35"/>
      <c r="B45" s="5"/>
      <c r="C45" s="77"/>
      <c r="D45" s="74"/>
      <c r="E45" s="78"/>
    </row>
    <row r="46">
      <c r="A46" s="35"/>
      <c r="B46" s="5"/>
      <c r="C46" s="77"/>
      <c r="D46" s="74"/>
      <c r="E46" s="78"/>
    </row>
    <row r="47">
      <c r="A47" s="35"/>
      <c r="B47" s="5"/>
      <c r="C47" s="77"/>
      <c r="D47" s="74"/>
      <c r="E47" s="78"/>
    </row>
    <row r="48">
      <c r="A48" s="35"/>
      <c r="B48" s="5"/>
      <c r="C48" s="77"/>
      <c r="D48" s="74"/>
      <c r="E48" s="78"/>
    </row>
    <row r="49">
      <c r="A49" s="35"/>
      <c r="B49" s="5"/>
      <c r="C49" s="77"/>
      <c r="D49" s="74"/>
      <c r="E49" s="78"/>
    </row>
    <row r="50">
      <c r="A50" s="35"/>
      <c r="B50" s="5"/>
      <c r="C50" s="77"/>
      <c r="D50" s="74"/>
      <c r="E50" s="78"/>
    </row>
    <row r="51">
      <c r="A51" s="35"/>
      <c r="B51" s="5"/>
      <c r="C51" s="77"/>
      <c r="D51" s="74"/>
      <c r="E51" s="78"/>
    </row>
    <row r="52">
      <c r="A52" s="35"/>
      <c r="B52" s="5"/>
      <c r="C52" s="77"/>
      <c r="D52" s="74"/>
      <c r="E52" s="78"/>
    </row>
    <row r="53">
      <c r="A53" s="35"/>
      <c r="B53" s="5"/>
      <c r="C53" s="77"/>
      <c r="D53" s="74"/>
      <c r="E53" s="78"/>
    </row>
    <row r="54">
      <c r="A54" s="35"/>
      <c r="B54" s="5"/>
      <c r="C54" s="77"/>
      <c r="D54" s="74"/>
      <c r="E54" s="78"/>
    </row>
    <row r="55">
      <c r="A55" s="35"/>
      <c r="B55" s="5"/>
      <c r="C55" s="77"/>
      <c r="D55" s="74"/>
      <c r="E55" s="78"/>
    </row>
    <row r="56">
      <c r="A56" s="35"/>
      <c r="B56" s="5"/>
      <c r="C56" s="77"/>
      <c r="D56" s="74"/>
      <c r="E56" s="78"/>
    </row>
    <row r="57">
      <c r="A57" s="35"/>
      <c r="B57" s="5"/>
      <c r="C57" s="77"/>
      <c r="D57" s="74"/>
      <c r="E57" s="78"/>
    </row>
    <row r="58">
      <c r="A58" s="35"/>
      <c r="B58" s="5"/>
      <c r="C58" s="77"/>
      <c r="D58" s="74"/>
      <c r="E58" s="78"/>
    </row>
    <row r="59">
      <c r="A59" s="35"/>
      <c r="B59" s="5"/>
      <c r="C59" s="77"/>
      <c r="D59" s="74"/>
      <c r="E59" s="78"/>
    </row>
    <row r="60">
      <c r="A60" s="35"/>
      <c r="B60" s="5"/>
      <c r="C60" s="77"/>
      <c r="D60" s="74"/>
      <c r="E60" s="78"/>
    </row>
    <row r="61">
      <c r="A61" s="35"/>
      <c r="B61" s="5"/>
      <c r="C61" s="77"/>
      <c r="D61" s="74"/>
      <c r="E61" s="78"/>
    </row>
    <row r="62">
      <c r="A62" s="35"/>
      <c r="B62" s="5"/>
      <c r="C62" s="77"/>
      <c r="D62" s="74"/>
      <c r="E62" s="78"/>
    </row>
    <row r="63">
      <c r="A63" s="35"/>
      <c r="B63" s="5"/>
      <c r="C63" s="77"/>
      <c r="D63" s="74"/>
      <c r="E63" s="78"/>
    </row>
    <row r="64">
      <c r="A64" s="35"/>
      <c r="B64" s="5"/>
      <c r="C64" s="77"/>
      <c r="D64" s="74"/>
      <c r="E64" s="78"/>
    </row>
    <row r="65">
      <c r="A65" s="35"/>
      <c r="B65" s="5"/>
      <c r="C65" s="77"/>
      <c r="D65" s="74"/>
      <c r="E65" s="78"/>
    </row>
    <row r="66">
      <c r="A66" s="35"/>
      <c r="B66" s="5"/>
      <c r="C66" s="77"/>
      <c r="D66" s="74"/>
      <c r="E66" s="78"/>
    </row>
    <row r="67">
      <c r="A67" s="35"/>
      <c r="B67" s="5"/>
      <c r="C67" s="77"/>
      <c r="D67" s="74"/>
      <c r="E67" s="78"/>
    </row>
    <row r="68">
      <c r="A68" s="35"/>
      <c r="B68" s="5"/>
      <c r="C68" s="77"/>
      <c r="D68" s="74"/>
      <c r="E68" s="78"/>
    </row>
    <row r="69">
      <c r="A69" s="35"/>
      <c r="B69" s="5"/>
      <c r="C69" s="77"/>
      <c r="D69" s="74"/>
      <c r="E69" s="78"/>
    </row>
    <row r="70">
      <c r="A70" s="35"/>
      <c r="B70" s="5"/>
      <c r="C70" s="77"/>
      <c r="D70" s="74"/>
      <c r="E70" s="78"/>
    </row>
    <row r="71">
      <c r="A71" s="35"/>
      <c r="B71" s="5"/>
      <c r="C71" s="77"/>
      <c r="D71" s="74"/>
      <c r="E71" s="78"/>
    </row>
    <row r="72">
      <c r="A72" s="35"/>
      <c r="B72" s="5"/>
      <c r="C72" s="77"/>
      <c r="D72" s="74"/>
      <c r="E72" s="78"/>
    </row>
    <row r="73">
      <c r="A73" s="35"/>
      <c r="B73" s="5"/>
      <c r="C73" s="77"/>
      <c r="D73" s="74"/>
      <c r="E73" s="78"/>
    </row>
    <row r="74">
      <c r="A74" s="35"/>
      <c r="B74" s="5"/>
      <c r="C74" s="77"/>
      <c r="D74" s="74"/>
      <c r="E74" s="78"/>
    </row>
    <row r="75">
      <c r="A75" s="35"/>
      <c r="B75" s="5"/>
      <c r="C75" s="77"/>
      <c r="D75" s="74"/>
      <c r="E75" s="78"/>
    </row>
    <row r="76">
      <c r="A76" s="35"/>
      <c r="B76" s="5"/>
      <c r="C76" s="77"/>
      <c r="D76" s="74"/>
      <c r="E76" s="78"/>
    </row>
    <row r="77">
      <c r="A77" s="35"/>
      <c r="B77" s="5"/>
      <c r="C77" s="77"/>
      <c r="D77" s="74"/>
      <c r="E77" s="78"/>
    </row>
    <row r="78">
      <c r="A78" s="35"/>
      <c r="B78" s="5"/>
      <c r="C78" s="77"/>
      <c r="D78" s="74"/>
      <c r="E78" s="78"/>
    </row>
    <row r="79">
      <c r="A79" s="35"/>
      <c r="B79" s="5"/>
      <c r="C79" s="77"/>
      <c r="D79" s="74"/>
      <c r="E79" s="78"/>
    </row>
    <row r="80">
      <c r="A80" s="35"/>
      <c r="B80" s="5"/>
      <c r="C80" s="77"/>
      <c r="D80" s="74"/>
      <c r="E80" s="78"/>
    </row>
    <row r="81">
      <c r="A81" s="35"/>
      <c r="B81" s="5"/>
      <c r="C81" s="77"/>
      <c r="D81" s="74"/>
      <c r="E81" s="78"/>
    </row>
    <row r="82">
      <c r="A82" s="35"/>
      <c r="B82" s="5"/>
      <c r="C82" s="77"/>
      <c r="D82" s="74"/>
      <c r="E82" s="78"/>
    </row>
    <row r="83">
      <c r="A83" s="35"/>
      <c r="B83" s="5"/>
      <c r="C83" s="77"/>
      <c r="D83" s="74"/>
      <c r="E83" s="78"/>
    </row>
    <row r="84">
      <c r="A84" s="35"/>
      <c r="B84" s="5"/>
      <c r="C84" s="77"/>
      <c r="D84" s="74"/>
      <c r="E84" s="78"/>
    </row>
    <row r="85">
      <c r="A85" s="35"/>
      <c r="B85" s="5"/>
      <c r="C85" s="77"/>
      <c r="D85" s="74"/>
      <c r="E85" s="78"/>
    </row>
    <row r="86">
      <c r="A86" s="35"/>
      <c r="B86" s="5"/>
      <c r="C86" s="77"/>
      <c r="D86" s="74"/>
      <c r="E86" s="78"/>
    </row>
    <row r="87">
      <c r="A87" s="35"/>
      <c r="B87" s="5"/>
      <c r="C87" s="77"/>
      <c r="D87" s="74"/>
      <c r="E87" s="78"/>
    </row>
    <row r="88">
      <c r="A88" s="35"/>
      <c r="B88" s="5"/>
      <c r="C88" s="77"/>
      <c r="D88" s="74"/>
      <c r="E88" s="78"/>
    </row>
    <row r="89">
      <c r="A89" s="35"/>
      <c r="B89" s="5"/>
      <c r="C89" s="77"/>
      <c r="D89" s="74"/>
      <c r="E89" s="78"/>
    </row>
    <row r="90">
      <c r="A90" s="35"/>
      <c r="B90" s="5"/>
      <c r="C90" s="77"/>
      <c r="D90" s="74"/>
      <c r="E90" s="78"/>
    </row>
    <row r="91">
      <c r="A91" s="35"/>
      <c r="B91" s="5"/>
      <c r="C91" s="77"/>
      <c r="D91" s="74"/>
      <c r="E91" s="78"/>
    </row>
    <row r="92">
      <c r="A92" s="35"/>
      <c r="B92" s="5"/>
      <c r="C92" s="77"/>
      <c r="D92" s="74"/>
      <c r="E92" s="78"/>
    </row>
    <row r="93">
      <c r="A93" s="35"/>
      <c r="B93" s="5"/>
      <c r="C93" s="77"/>
      <c r="D93" s="74"/>
      <c r="E93" s="78"/>
    </row>
    <row r="94">
      <c r="A94" s="35"/>
      <c r="B94" s="5"/>
      <c r="C94" s="77"/>
      <c r="D94" s="74"/>
      <c r="E94" s="78"/>
    </row>
    <row r="95">
      <c r="A95" s="35"/>
      <c r="B95" s="5"/>
      <c r="C95" s="77"/>
      <c r="D95" s="74"/>
      <c r="E95" s="78"/>
    </row>
    <row r="96">
      <c r="A96" s="35"/>
      <c r="B96" s="5"/>
      <c r="C96" s="77"/>
      <c r="D96" s="74"/>
      <c r="E96" s="78"/>
    </row>
    <row r="97">
      <c r="A97" s="35"/>
      <c r="B97" s="5"/>
      <c r="C97" s="77"/>
      <c r="D97" s="74"/>
      <c r="E97" s="78"/>
    </row>
    <row r="98">
      <c r="A98" s="35"/>
      <c r="B98" s="5"/>
      <c r="C98" s="77"/>
      <c r="D98" s="74"/>
      <c r="E98" s="78"/>
    </row>
    <row r="99">
      <c r="A99" s="35"/>
      <c r="B99" s="5"/>
      <c r="C99" s="77"/>
      <c r="D99" s="74"/>
      <c r="E99" s="78"/>
    </row>
    <row r="100">
      <c r="A100" s="35"/>
      <c r="B100" s="5"/>
      <c r="C100" s="77"/>
      <c r="D100" s="74"/>
      <c r="E100" s="78"/>
    </row>
    <row r="101">
      <c r="A101" s="35"/>
      <c r="B101" s="5"/>
      <c r="C101" s="77"/>
      <c r="D101" s="74"/>
      <c r="E101" s="78"/>
    </row>
    <row r="102">
      <c r="A102" s="35"/>
      <c r="B102" s="5"/>
      <c r="C102" s="77"/>
      <c r="D102" s="74"/>
      <c r="E102" s="78"/>
    </row>
    <row r="103">
      <c r="A103" s="35"/>
      <c r="B103" s="5"/>
      <c r="C103" s="77"/>
      <c r="D103" s="74"/>
      <c r="E103" s="78"/>
    </row>
    <row r="104">
      <c r="A104" s="35"/>
      <c r="B104" s="5"/>
      <c r="C104" s="77"/>
      <c r="D104" s="74"/>
      <c r="E104" s="78"/>
    </row>
    <row r="105">
      <c r="A105" s="35"/>
      <c r="B105" s="5"/>
      <c r="C105" s="77"/>
      <c r="D105" s="74"/>
      <c r="E105" s="78"/>
    </row>
    <row r="106">
      <c r="A106" s="35"/>
      <c r="B106" s="5"/>
      <c r="C106" s="77"/>
      <c r="D106" s="74"/>
      <c r="E106" s="78"/>
    </row>
    <row r="107">
      <c r="A107" s="35"/>
      <c r="B107" s="5"/>
      <c r="C107" s="77"/>
      <c r="D107" s="74"/>
      <c r="E107" s="78"/>
    </row>
    <row r="108">
      <c r="A108" s="35"/>
      <c r="B108" s="5"/>
      <c r="C108" s="77"/>
      <c r="D108" s="74"/>
      <c r="E108" s="78"/>
    </row>
    <row r="109">
      <c r="A109" s="35"/>
      <c r="B109" s="5"/>
      <c r="C109" s="77"/>
      <c r="D109" s="74"/>
      <c r="E109" s="78"/>
    </row>
    <row r="110">
      <c r="A110" s="35"/>
      <c r="B110" s="5"/>
      <c r="C110" s="77"/>
      <c r="D110" s="74"/>
      <c r="E110" s="78"/>
    </row>
    <row r="111">
      <c r="A111" s="35"/>
      <c r="B111" s="5"/>
      <c r="C111" s="77"/>
      <c r="D111" s="74"/>
      <c r="E111" s="78"/>
    </row>
    <row r="112">
      <c r="A112" s="35"/>
      <c r="B112" s="5"/>
      <c r="C112" s="77"/>
      <c r="D112" s="74"/>
      <c r="E112" s="78"/>
    </row>
    <row r="113">
      <c r="A113" s="35"/>
      <c r="B113" s="5"/>
      <c r="C113" s="77"/>
      <c r="D113" s="74"/>
      <c r="E113" s="78"/>
    </row>
    <row r="114">
      <c r="A114" s="35"/>
      <c r="B114" s="5"/>
      <c r="C114" s="77"/>
      <c r="D114" s="74"/>
      <c r="E114" s="78"/>
    </row>
    <row r="115">
      <c r="A115" s="35"/>
      <c r="B115" s="5"/>
      <c r="C115" s="77"/>
      <c r="D115" s="74"/>
      <c r="E115" s="78"/>
    </row>
    <row r="116">
      <c r="A116" s="35"/>
      <c r="B116" s="5"/>
      <c r="C116" s="77"/>
      <c r="D116" s="74"/>
      <c r="E116" s="78"/>
    </row>
    <row r="117">
      <c r="A117" s="35"/>
      <c r="B117" s="5"/>
      <c r="C117" s="77"/>
      <c r="D117" s="74"/>
      <c r="E117" s="78"/>
    </row>
    <row r="118">
      <c r="A118" s="35"/>
      <c r="B118" s="5"/>
      <c r="C118" s="77"/>
      <c r="D118" s="74"/>
      <c r="E118" s="78"/>
    </row>
    <row r="119">
      <c r="A119" s="35"/>
      <c r="B119" s="5"/>
      <c r="C119" s="77"/>
      <c r="D119" s="74"/>
      <c r="E119" s="78"/>
    </row>
    <row r="120">
      <c r="A120" s="35"/>
      <c r="B120" s="5"/>
      <c r="C120" s="77"/>
      <c r="D120" s="74"/>
      <c r="E120" s="78"/>
    </row>
    <row r="121">
      <c r="A121" s="35"/>
      <c r="B121" s="5"/>
      <c r="C121" s="77"/>
      <c r="D121" s="74"/>
      <c r="E121" s="78"/>
    </row>
    <row r="122">
      <c r="A122" s="35"/>
      <c r="B122" s="5"/>
      <c r="C122" s="77"/>
      <c r="D122" s="74"/>
      <c r="E122" s="78"/>
    </row>
    <row r="123">
      <c r="A123" s="35"/>
      <c r="B123" s="5"/>
      <c r="C123" s="77"/>
      <c r="D123" s="74"/>
      <c r="E123" s="78"/>
    </row>
    <row r="124">
      <c r="A124" s="35"/>
      <c r="B124" s="5"/>
      <c r="C124" s="77"/>
      <c r="D124" s="74"/>
      <c r="E124" s="78"/>
    </row>
    <row r="125">
      <c r="A125" s="35"/>
      <c r="B125" s="5"/>
      <c r="C125" s="77"/>
      <c r="D125" s="74"/>
      <c r="E125" s="78"/>
    </row>
    <row r="126">
      <c r="A126" s="35"/>
      <c r="B126" s="5"/>
      <c r="C126" s="77"/>
      <c r="D126" s="74"/>
      <c r="E126" s="78"/>
    </row>
    <row r="127">
      <c r="A127" s="35"/>
      <c r="B127" s="5"/>
      <c r="C127" s="77"/>
      <c r="D127" s="74"/>
      <c r="E127" s="78"/>
    </row>
    <row r="128">
      <c r="A128" s="35"/>
      <c r="B128" s="5"/>
      <c r="C128" s="77"/>
      <c r="D128" s="74"/>
      <c r="E128" s="78"/>
    </row>
    <row r="129">
      <c r="A129" s="35"/>
      <c r="B129" s="5"/>
      <c r="C129" s="77"/>
      <c r="D129" s="74"/>
      <c r="E129" s="78"/>
    </row>
    <row r="130">
      <c r="A130" s="35"/>
      <c r="B130" s="5"/>
      <c r="C130" s="77"/>
      <c r="D130" s="74"/>
      <c r="E130" s="78"/>
    </row>
    <row r="131">
      <c r="A131" s="35"/>
      <c r="B131" s="5"/>
      <c r="C131" s="77"/>
      <c r="D131" s="74"/>
      <c r="E131" s="78"/>
    </row>
    <row r="132">
      <c r="A132" s="35"/>
      <c r="B132" s="5"/>
      <c r="C132" s="77"/>
      <c r="D132" s="74"/>
      <c r="E132" s="78"/>
    </row>
    <row r="133">
      <c r="A133" s="35"/>
      <c r="B133" s="5"/>
      <c r="C133" s="77"/>
      <c r="D133" s="74"/>
      <c r="E133" s="78"/>
    </row>
    <row r="134">
      <c r="A134" s="35"/>
      <c r="B134" s="5"/>
      <c r="C134" s="77"/>
      <c r="D134" s="74"/>
      <c r="E134" s="78"/>
    </row>
    <row r="135">
      <c r="A135" s="35"/>
      <c r="B135" s="5"/>
      <c r="C135" s="77"/>
      <c r="D135" s="74"/>
      <c r="E135" s="78"/>
    </row>
    <row r="136">
      <c r="A136" s="35"/>
      <c r="B136" s="5"/>
      <c r="C136" s="77"/>
      <c r="D136" s="74"/>
      <c r="E136" s="78"/>
    </row>
    <row r="137">
      <c r="A137" s="35"/>
      <c r="B137" s="5"/>
      <c r="C137" s="77"/>
      <c r="D137" s="74"/>
      <c r="E137" s="78"/>
    </row>
    <row r="138">
      <c r="A138" s="35"/>
      <c r="B138" s="5"/>
      <c r="C138" s="77"/>
      <c r="D138" s="74"/>
      <c r="E138" s="78"/>
    </row>
    <row r="139">
      <c r="A139" s="35"/>
      <c r="B139" s="5"/>
      <c r="C139" s="77"/>
      <c r="D139" s="74"/>
      <c r="E139" s="78"/>
    </row>
    <row r="140">
      <c r="A140" s="35"/>
      <c r="B140" s="5"/>
      <c r="C140" s="77"/>
      <c r="D140" s="74"/>
      <c r="E140" s="78"/>
    </row>
    <row r="141">
      <c r="A141" s="35"/>
      <c r="B141" s="5"/>
      <c r="C141" s="77"/>
      <c r="D141" s="74"/>
      <c r="E141" s="78"/>
    </row>
    <row r="142">
      <c r="A142" s="35"/>
      <c r="B142" s="5"/>
      <c r="C142" s="77"/>
      <c r="D142" s="74"/>
      <c r="E142" s="78"/>
    </row>
    <row r="143">
      <c r="A143" s="35"/>
      <c r="B143" s="5"/>
      <c r="C143" s="77"/>
      <c r="D143" s="74"/>
      <c r="E143" s="78"/>
    </row>
    <row r="144">
      <c r="A144" s="35"/>
      <c r="B144" s="5"/>
      <c r="C144" s="77"/>
      <c r="D144" s="74"/>
      <c r="E144" s="78"/>
    </row>
    <row r="145">
      <c r="A145" s="35"/>
      <c r="B145" s="5"/>
      <c r="C145" s="77"/>
      <c r="D145" s="74"/>
      <c r="E145" s="78"/>
    </row>
    <row r="146">
      <c r="A146" s="35"/>
      <c r="B146" s="5"/>
      <c r="C146" s="77"/>
      <c r="D146" s="74"/>
      <c r="E146" s="78"/>
    </row>
    <row r="147">
      <c r="A147" s="35"/>
      <c r="B147" s="5"/>
      <c r="C147" s="77"/>
      <c r="D147" s="74"/>
      <c r="E147" s="78"/>
    </row>
    <row r="148">
      <c r="A148" s="35"/>
      <c r="B148" s="5"/>
      <c r="C148" s="77"/>
      <c r="D148" s="74"/>
      <c r="E148" s="78"/>
    </row>
    <row r="149">
      <c r="A149" s="35"/>
      <c r="B149" s="5"/>
      <c r="C149" s="77"/>
      <c r="D149" s="74"/>
      <c r="E149" s="78"/>
    </row>
    <row r="150">
      <c r="A150" s="35"/>
      <c r="B150" s="5"/>
      <c r="C150" s="77"/>
      <c r="D150" s="74"/>
      <c r="E150" s="78"/>
    </row>
    <row r="151">
      <c r="A151" s="35"/>
      <c r="B151" s="5"/>
      <c r="C151" s="77"/>
      <c r="D151" s="74"/>
      <c r="E151" s="78"/>
    </row>
    <row r="152">
      <c r="A152" s="35"/>
      <c r="B152" s="5"/>
      <c r="C152" s="77"/>
      <c r="D152" s="74"/>
      <c r="E152" s="78"/>
    </row>
    <row r="153">
      <c r="A153" s="35"/>
      <c r="B153" s="5"/>
      <c r="C153" s="77"/>
      <c r="D153" s="74"/>
      <c r="E153" s="78"/>
    </row>
    <row r="154">
      <c r="A154" s="35"/>
      <c r="B154" s="5"/>
      <c r="C154" s="77"/>
      <c r="D154" s="74"/>
      <c r="E154" s="78"/>
    </row>
    <row r="155">
      <c r="A155" s="35"/>
      <c r="B155" s="5"/>
      <c r="C155" s="77"/>
      <c r="D155" s="74"/>
      <c r="E155" s="78"/>
    </row>
    <row r="156">
      <c r="A156" s="35"/>
      <c r="B156" s="5"/>
      <c r="C156" s="77"/>
      <c r="D156" s="74"/>
      <c r="E156" s="78"/>
    </row>
    <row r="157">
      <c r="A157" s="35"/>
      <c r="B157" s="5"/>
      <c r="C157" s="77"/>
      <c r="D157" s="74"/>
      <c r="E157" s="78"/>
    </row>
    <row r="158">
      <c r="A158" s="35"/>
      <c r="B158" s="5"/>
      <c r="C158" s="77"/>
      <c r="D158" s="74"/>
      <c r="E158" s="78"/>
    </row>
    <row r="159">
      <c r="A159" s="35"/>
      <c r="B159" s="5"/>
      <c r="C159" s="77"/>
      <c r="D159" s="74"/>
      <c r="E159" s="78"/>
    </row>
    <row r="160">
      <c r="A160" s="35"/>
      <c r="B160" s="5"/>
      <c r="C160" s="77"/>
      <c r="D160" s="74"/>
      <c r="E160" s="78"/>
    </row>
    <row r="161">
      <c r="A161" s="35"/>
      <c r="B161" s="5"/>
      <c r="C161" s="77"/>
      <c r="D161" s="74"/>
      <c r="E161" s="78"/>
    </row>
    <row r="162">
      <c r="A162" s="35"/>
      <c r="B162" s="5"/>
      <c r="C162" s="77"/>
      <c r="D162" s="74"/>
      <c r="E162" s="78"/>
    </row>
    <row r="163">
      <c r="A163" s="35"/>
      <c r="B163" s="5"/>
      <c r="C163" s="77"/>
      <c r="D163" s="74"/>
      <c r="E163" s="78"/>
    </row>
    <row r="164">
      <c r="A164" s="35"/>
      <c r="B164" s="5"/>
      <c r="C164" s="77"/>
      <c r="D164" s="74"/>
      <c r="E164" s="78"/>
    </row>
    <row r="165">
      <c r="A165" s="35"/>
      <c r="B165" s="5"/>
      <c r="C165" s="77"/>
      <c r="D165" s="74"/>
      <c r="E165" s="78"/>
    </row>
    <row r="166">
      <c r="A166" s="35"/>
      <c r="B166" s="5"/>
      <c r="C166" s="77"/>
      <c r="D166" s="74"/>
      <c r="E166" s="78"/>
    </row>
    <row r="167">
      <c r="A167" s="35"/>
      <c r="B167" s="5"/>
      <c r="C167" s="77"/>
      <c r="D167" s="74"/>
      <c r="E167" s="78"/>
    </row>
    <row r="168">
      <c r="A168" s="35"/>
      <c r="B168" s="5"/>
      <c r="C168" s="77"/>
      <c r="D168" s="74"/>
      <c r="E168" s="78"/>
    </row>
    <row r="169">
      <c r="A169" s="35"/>
      <c r="B169" s="5"/>
      <c r="C169" s="77"/>
      <c r="D169" s="74"/>
      <c r="E169" s="78"/>
    </row>
    <row r="170">
      <c r="A170" s="35"/>
      <c r="B170" s="5"/>
      <c r="C170" s="77"/>
      <c r="D170" s="74"/>
      <c r="E170" s="78"/>
    </row>
    <row r="171">
      <c r="A171" s="35"/>
      <c r="B171" s="5"/>
      <c r="C171" s="77"/>
      <c r="D171" s="74"/>
      <c r="E171" s="78"/>
    </row>
    <row r="172">
      <c r="A172" s="35"/>
      <c r="B172" s="5"/>
      <c r="C172" s="77"/>
      <c r="D172" s="74"/>
      <c r="E172" s="78"/>
    </row>
    <row r="173">
      <c r="A173" s="35"/>
      <c r="B173" s="5"/>
      <c r="C173" s="77"/>
      <c r="D173" s="74"/>
      <c r="E173" s="78"/>
    </row>
    <row r="174">
      <c r="A174" s="35"/>
      <c r="B174" s="5"/>
      <c r="C174" s="77"/>
      <c r="D174" s="74"/>
      <c r="E174" s="78"/>
    </row>
    <row r="175">
      <c r="A175" s="35"/>
      <c r="B175" s="5"/>
      <c r="C175" s="77"/>
      <c r="D175" s="74"/>
      <c r="E175" s="78"/>
    </row>
    <row r="176">
      <c r="A176" s="35"/>
      <c r="B176" s="5"/>
      <c r="C176" s="77"/>
      <c r="D176" s="74"/>
      <c r="E176" s="78"/>
    </row>
    <row r="177">
      <c r="A177" s="35"/>
      <c r="B177" s="5"/>
      <c r="C177" s="77"/>
      <c r="D177" s="74"/>
      <c r="E177" s="78"/>
    </row>
    <row r="178">
      <c r="A178" s="35"/>
      <c r="B178" s="5"/>
      <c r="C178" s="77"/>
      <c r="D178" s="74"/>
      <c r="E178" s="78"/>
    </row>
    <row r="179">
      <c r="A179" s="35"/>
      <c r="B179" s="5"/>
      <c r="C179" s="77"/>
      <c r="D179" s="74"/>
      <c r="E179" s="78"/>
    </row>
    <row r="180">
      <c r="A180" s="35"/>
      <c r="B180" s="5"/>
      <c r="C180" s="77"/>
      <c r="D180" s="74"/>
      <c r="E180" s="78"/>
    </row>
    <row r="181">
      <c r="A181" s="35"/>
      <c r="B181" s="5"/>
      <c r="C181" s="77"/>
      <c r="D181" s="74"/>
      <c r="E181" s="78"/>
    </row>
    <row r="182">
      <c r="A182" s="35"/>
      <c r="B182" s="5"/>
      <c r="C182" s="77"/>
      <c r="D182" s="74"/>
      <c r="E182" s="78"/>
    </row>
    <row r="183">
      <c r="A183" s="35"/>
      <c r="B183" s="5"/>
      <c r="C183" s="77"/>
      <c r="D183" s="74"/>
      <c r="E183" s="78"/>
    </row>
    <row r="184">
      <c r="A184" s="35"/>
      <c r="B184" s="5"/>
      <c r="C184" s="77"/>
      <c r="D184" s="74"/>
      <c r="E184" s="78"/>
    </row>
    <row r="185">
      <c r="A185" s="35"/>
      <c r="B185" s="5"/>
      <c r="C185" s="77"/>
      <c r="D185" s="74"/>
      <c r="E185" s="78"/>
    </row>
    <row r="186">
      <c r="A186" s="35"/>
      <c r="B186" s="5"/>
      <c r="C186" s="77"/>
      <c r="D186" s="74"/>
      <c r="E186" s="78"/>
    </row>
    <row r="187">
      <c r="A187" s="35"/>
      <c r="B187" s="5"/>
      <c r="C187" s="77"/>
      <c r="D187" s="74"/>
      <c r="E187" s="78"/>
    </row>
    <row r="188">
      <c r="A188" s="35"/>
      <c r="B188" s="5"/>
      <c r="C188" s="77"/>
      <c r="D188" s="74"/>
      <c r="E188" s="78"/>
    </row>
    <row r="189">
      <c r="A189" s="35"/>
      <c r="B189" s="5"/>
      <c r="C189" s="77"/>
      <c r="D189" s="74"/>
      <c r="E189" s="78"/>
    </row>
    <row r="190">
      <c r="A190" s="35"/>
      <c r="B190" s="5"/>
      <c r="C190" s="77"/>
      <c r="D190" s="74"/>
      <c r="E190" s="78"/>
    </row>
    <row r="191">
      <c r="A191" s="35"/>
      <c r="B191" s="5"/>
      <c r="C191" s="77"/>
      <c r="D191" s="74"/>
      <c r="E191" s="78"/>
    </row>
    <row r="192">
      <c r="A192" s="35"/>
      <c r="B192" s="5"/>
      <c r="C192" s="77"/>
      <c r="D192" s="74"/>
      <c r="E192" s="78"/>
    </row>
    <row r="193">
      <c r="A193" s="35"/>
      <c r="B193" s="5"/>
      <c r="C193" s="77"/>
      <c r="D193" s="74"/>
      <c r="E193" s="78"/>
    </row>
    <row r="194">
      <c r="A194" s="35"/>
      <c r="B194" s="5"/>
      <c r="C194" s="77"/>
      <c r="D194" s="74"/>
      <c r="E194" s="78"/>
    </row>
    <row r="195">
      <c r="A195" s="35"/>
      <c r="B195" s="5"/>
      <c r="C195" s="77"/>
      <c r="D195" s="74"/>
      <c r="E195" s="78"/>
    </row>
    <row r="196">
      <c r="A196" s="35"/>
      <c r="B196" s="5"/>
      <c r="C196" s="77"/>
      <c r="D196" s="74"/>
      <c r="E196" s="78"/>
    </row>
    <row r="197">
      <c r="A197" s="35"/>
      <c r="B197" s="5"/>
      <c r="C197" s="77"/>
      <c r="D197" s="74"/>
      <c r="E197" s="78"/>
    </row>
    <row r="198">
      <c r="A198" s="35"/>
      <c r="B198" s="5"/>
      <c r="C198" s="77"/>
      <c r="D198" s="74"/>
      <c r="E198" s="78"/>
    </row>
    <row r="199">
      <c r="A199" s="35"/>
      <c r="B199" s="5"/>
      <c r="C199" s="77"/>
      <c r="D199" s="74"/>
      <c r="E199" s="78"/>
    </row>
    <row r="200">
      <c r="A200" s="35"/>
      <c r="B200" s="5"/>
      <c r="C200" s="77"/>
      <c r="D200" s="74"/>
      <c r="E200" s="78"/>
    </row>
    <row r="201">
      <c r="A201" s="35"/>
      <c r="B201" s="5"/>
      <c r="C201" s="77"/>
      <c r="D201" s="74"/>
      <c r="E201" s="78"/>
    </row>
    <row r="202">
      <c r="A202" s="35"/>
      <c r="B202" s="5"/>
      <c r="C202" s="77"/>
      <c r="D202" s="74"/>
      <c r="E202" s="78"/>
    </row>
    <row r="203">
      <c r="A203" s="35"/>
      <c r="B203" s="5"/>
      <c r="C203" s="77"/>
      <c r="D203" s="74"/>
      <c r="E203" s="78"/>
    </row>
    <row r="204">
      <c r="A204" s="35"/>
      <c r="B204" s="5"/>
      <c r="C204" s="77"/>
      <c r="D204" s="74"/>
      <c r="E204" s="78"/>
    </row>
    <row r="205">
      <c r="A205" s="35"/>
      <c r="B205" s="5"/>
      <c r="C205" s="77"/>
      <c r="D205" s="74"/>
      <c r="E205" s="78"/>
    </row>
    <row r="206">
      <c r="A206" s="35"/>
      <c r="B206" s="5"/>
      <c r="C206" s="77"/>
      <c r="D206" s="74"/>
      <c r="E206" s="78"/>
    </row>
    <row r="207">
      <c r="A207" s="35"/>
      <c r="B207" s="5"/>
      <c r="C207" s="77"/>
      <c r="D207" s="74"/>
      <c r="E207" s="78"/>
    </row>
    <row r="208">
      <c r="A208" s="35"/>
      <c r="B208" s="5"/>
      <c r="C208" s="77"/>
      <c r="D208" s="74"/>
      <c r="E208" s="78"/>
    </row>
    <row r="209">
      <c r="A209" s="35"/>
      <c r="B209" s="5"/>
      <c r="C209" s="77"/>
      <c r="D209" s="74"/>
      <c r="E209" s="78"/>
    </row>
    <row r="210">
      <c r="A210" s="35"/>
      <c r="B210" s="5"/>
      <c r="C210" s="77"/>
      <c r="D210" s="74"/>
      <c r="E210" s="78"/>
    </row>
    <row r="211">
      <c r="A211" s="35"/>
      <c r="B211" s="5"/>
      <c r="C211" s="77"/>
      <c r="D211" s="74"/>
      <c r="E211" s="78"/>
    </row>
    <row r="212">
      <c r="A212" s="35"/>
      <c r="B212" s="5"/>
      <c r="C212" s="77"/>
      <c r="D212" s="74"/>
      <c r="E212" s="78"/>
    </row>
    <row r="213">
      <c r="A213" s="35"/>
      <c r="B213" s="5"/>
      <c r="C213" s="77"/>
      <c r="D213" s="74"/>
      <c r="E213" s="78"/>
    </row>
    <row r="214">
      <c r="A214" s="35"/>
      <c r="B214" s="5"/>
      <c r="C214" s="77"/>
      <c r="D214" s="74"/>
      <c r="E214" s="78"/>
    </row>
    <row r="215">
      <c r="A215" s="35"/>
      <c r="B215" s="5"/>
      <c r="C215" s="77"/>
      <c r="D215" s="74"/>
      <c r="E215" s="78"/>
    </row>
    <row r="216">
      <c r="A216" s="35"/>
      <c r="B216" s="5"/>
      <c r="C216" s="77"/>
      <c r="D216" s="74"/>
      <c r="E216" s="78"/>
    </row>
    <row r="217">
      <c r="A217" s="35"/>
      <c r="B217" s="5"/>
      <c r="C217" s="77"/>
      <c r="D217" s="74"/>
      <c r="E217" s="78"/>
    </row>
    <row r="218">
      <c r="A218" s="35"/>
      <c r="B218" s="5"/>
      <c r="C218" s="77"/>
      <c r="D218" s="74"/>
      <c r="E218" s="78"/>
    </row>
    <row r="219">
      <c r="A219" s="35"/>
      <c r="B219" s="5"/>
      <c r="C219" s="77"/>
      <c r="D219" s="74"/>
      <c r="E219" s="78"/>
    </row>
    <row r="220">
      <c r="A220" s="35"/>
      <c r="B220" s="5"/>
      <c r="C220" s="77"/>
      <c r="D220" s="74"/>
      <c r="E220" s="78"/>
    </row>
    <row r="221">
      <c r="A221" s="35"/>
      <c r="B221" s="5"/>
      <c r="C221" s="77"/>
      <c r="D221" s="74"/>
      <c r="E221" s="78"/>
    </row>
    <row r="222">
      <c r="A222" s="35"/>
      <c r="B222" s="5"/>
      <c r="C222" s="77"/>
      <c r="D222" s="74"/>
      <c r="E222" s="78"/>
    </row>
    <row r="223">
      <c r="A223" s="35"/>
      <c r="B223" s="5"/>
      <c r="C223" s="77"/>
      <c r="D223" s="74"/>
      <c r="E223" s="78"/>
    </row>
    <row r="224">
      <c r="A224" s="35"/>
      <c r="B224" s="5"/>
      <c r="C224" s="77"/>
      <c r="D224" s="74"/>
      <c r="E224" s="78"/>
    </row>
    <row r="225">
      <c r="A225" s="35"/>
      <c r="B225" s="5"/>
      <c r="C225" s="77"/>
      <c r="D225" s="74"/>
      <c r="E225" s="78"/>
    </row>
    <row r="226">
      <c r="A226" s="35"/>
      <c r="B226" s="5"/>
      <c r="C226" s="77"/>
      <c r="D226" s="74"/>
      <c r="E226" s="78"/>
    </row>
    <row r="227">
      <c r="A227" s="35"/>
      <c r="B227" s="5"/>
      <c r="C227" s="77"/>
      <c r="D227" s="74"/>
      <c r="E227" s="78"/>
    </row>
    <row r="228">
      <c r="A228" s="35"/>
      <c r="B228" s="5"/>
      <c r="C228" s="77"/>
      <c r="D228" s="74"/>
      <c r="E228" s="78"/>
    </row>
    <row r="229">
      <c r="A229" s="35"/>
      <c r="B229" s="5"/>
      <c r="C229" s="77"/>
      <c r="D229" s="74"/>
      <c r="E229" s="78"/>
    </row>
    <row r="230">
      <c r="A230" s="35"/>
      <c r="B230" s="5"/>
      <c r="C230" s="77"/>
      <c r="D230" s="74"/>
      <c r="E230" s="78"/>
    </row>
    <row r="231">
      <c r="A231" s="35"/>
      <c r="B231" s="5"/>
      <c r="C231" s="77"/>
      <c r="D231" s="74"/>
      <c r="E231" s="78"/>
    </row>
    <row r="232">
      <c r="A232" s="35"/>
      <c r="B232" s="5"/>
      <c r="C232" s="77"/>
      <c r="D232" s="74"/>
      <c r="E232" s="78"/>
    </row>
    <row r="233">
      <c r="A233" s="35"/>
      <c r="B233" s="5"/>
      <c r="C233" s="77"/>
      <c r="D233" s="74"/>
      <c r="E233" s="78"/>
    </row>
    <row r="234">
      <c r="A234" s="35"/>
      <c r="B234" s="5"/>
      <c r="C234" s="77"/>
      <c r="D234" s="74"/>
      <c r="E234" s="78"/>
    </row>
    <row r="235">
      <c r="A235" s="35"/>
      <c r="B235" s="5"/>
      <c r="C235" s="77"/>
      <c r="D235" s="74"/>
      <c r="E235" s="78"/>
    </row>
    <row r="236">
      <c r="A236" s="35"/>
      <c r="B236" s="5"/>
      <c r="C236" s="77"/>
      <c r="D236" s="74"/>
      <c r="E236" s="78"/>
    </row>
    <row r="237">
      <c r="A237" s="35"/>
      <c r="B237" s="5"/>
      <c r="C237" s="77"/>
      <c r="D237" s="74"/>
      <c r="E237" s="78"/>
    </row>
    <row r="238">
      <c r="A238" s="35"/>
      <c r="B238" s="5"/>
      <c r="C238" s="77"/>
      <c r="D238" s="74"/>
      <c r="E238" s="78"/>
    </row>
    <row r="239">
      <c r="A239" s="35"/>
      <c r="B239" s="5"/>
      <c r="C239" s="77"/>
      <c r="D239" s="74"/>
      <c r="E239" s="78"/>
    </row>
    <row r="240">
      <c r="A240" s="35"/>
      <c r="B240" s="5"/>
      <c r="C240" s="77"/>
      <c r="D240" s="74"/>
      <c r="E240" s="78"/>
    </row>
    <row r="241">
      <c r="A241" s="35"/>
      <c r="B241" s="5"/>
      <c r="C241" s="77"/>
      <c r="D241" s="74"/>
      <c r="E241" s="78"/>
    </row>
    <row r="242">
      <c r="A242" s="35"/>
      <c r="B242" s="5"/>
      <c r="C242" s="77"/>
      <c r="D242" s="74"/>
      <c r="E242" s="78"/>
    </row>
    <row r="243">
      <c r="A243" s="35"/>
      <c r="B243" s="5"/>
      <c r="C243" s="77"/>
      <c r="D243" s="74"/>
      <c r="E243" s="78"/>
    </row>
    <row r="244">
      <c r="A244" s="35"/>
      <c r="B244" s="5"/>
      <c r="C244" s="77"/>
      <c r="D244" s="74"/>
      <c r="E244" s="78"/>
    </row>
    <row r="245">
      <c r="A245" s="35"/>
      <c r="B245" s="5"/>
      <c r="C245" s="77"/>
      <c r="D245" s="74"/>
      <c r="E245" s="78"/>
    </row>
    <row r="246">
      <c r="A246" s="35"/>
      <c r="B246" s="5"/>
      <c r="C246" s="77"/>
      <c r="D246" s="74"/>
      <c r="E246" s="78"/>
    </row>
    <row r="247">
      <c r="A247" s="35"/>
      <c r="B247" s="5"/>
      <c r="C247" s="77"/>
      <c r="D247" s="74"/>
      <c r="E247" s="78"/>
    </row>
    <row r="248">
      <c r="A248" s="35"/>
      <c r="B248" s="5"/>
      <c r="C248" s="77"/>
      <c r="D248" s="74"/>
      <c r="E248" s="78"/>
    </row>
    <row r="249">
      <c r="A249" s="35"/>
      <c r="B249" s="5"/>
      <c r="C249" s="77"/>
      <c r="D249" s="74"/>
      <c r="E249" s="78"/>
    </row>
    <row r="250">
      <c r="A250" s="35"/>
      <c r="B250" s="5"/>
      <c r="C250" s="77"/>
      <c r="D250" s="74"/>
      <c r="E250" s="78"/>
    </row>
    <row r="251">
      <c r="A251" s="35"/>
      <c r="B251" s="5"/>
      <c r="C251" s="77"/>
      <c r="D251" s="74"/>
      <c r="E251" s="78"/>
    </row>
    <row r="252">
      <c r="A252" s="35"/>
      <c r="B252" s="5"/>
      <c r="C252" s="77"/>
      <c r="D252" s="74"/>
      <c r="E252" s="78"/>
    </row>
    <row r="253">
      <c r="A253" s="35"/>
      <c r="B253" s="5"/>
      <c r="C253" s="77"/>
      <c r="D253" s="74"/>
      <c r="E253" s="78"/>
    </row>
    <row r="254">
      <c r="A254" s="35"/>
      <c r="B254" s="5"/>
      <c r="C254" s="77"/>
      <c r="D254" s="74"/>
      <c r="E254" s="78"/>
    </row>
    <row r="255">
      <c r="A255" s="35"/>
      <c r="B255" s="5"/>
      <c r="C255" s="77"/>
      <c r="D255" s="74"/>
      <c r="E255" s="78"/>
    </row>
    <row r="256">
      <c r="A256" s="35"/>
      <c r="B256" s="5"/>
      <c r="C256" s="77"/>
      <c r="D256" s="74"/>
      <c r="E256" s="78"/>
    </row>
    <row r="257">
      <c r="A257" s="35"/>
      <c r="B257" s="5"/>
      <c r="C257" s="77"/>
      <c r="D257" s="74"/>
      <c r="E257" s="78"/>
    </row>
    <row r="258">
      <c r="A258" s="35"/>
      <c r="B258" s="5"/>
      <c r="C258" s="77"/>
      <c r="D258" s="74"/>
      <c r="E258" s="78"/>
    </row>
    <row r="259">
      <c r="A259" s="35"/>
      <c r="B259" s="5"/>
      <c r="C259" s="77"/>
      <c r="D259" s="74"/>
      <c r="E259" s="78"/>
    </row>
    <row r="260">
      <c r="A260" s="35"/>
      <c r="B260" s="5"/>
      <c r="C260" s="77"/>
      <c r="D260" s="74"/>
      <c r="E260" s="78"/>
    </row>
    <row r="261">
      <c r="A261" s="35"/>
      <c r="B261" s="5"/>
      <c r="C261" s="77"/>
      <c r="D261" s="74"/>
      <c r="E261" s="78"/>
    </row>
    <row r="262">
      <c r="A262" s="35"/>
      <c r="B262" s="5"/>
      <c r="C262" s="77"/>
      <c r="D262" s="74"/>
      <c r="E262" s="78"/>
    </row>
    <row r="263">
      <c r="A263" s="35"/>
      <c r="B263" s="5"/>
      <c r="C263" s="77"/>
      <c r="D263" s="74"/>
      <c r="E263" s="78"/>
    </row>
    <row r="264">
      <c r="A264" s="35"/>
      <c r="B264" s="5"/>
      <c r="C264" s="77"/>
      <c r="D264" s="74"/>
      <c r="E264" s="78"/>
    </row>
    <row r="265">
      <c r="A265" s="35"/>
      <c r="B265" s="5"/>
      <c r="C265" s="77"/>
      <c r="D265" s="74"/>
      <c r="E265" s="78"/>
    </row>
    <row r="266">
      <c r="A266" s="35"/>
      <c r="B266" s="5"/>
      <c r="C266" s="77"/>
      <c r="D266" s="74"/>
      <c r="E266" s="78"/>
    </row>
    <row r="267">
      <c r="A267" s="35"/>
      <c r="B267" s="5"/>
      <c r="C267" s="77"/>
      <c r="D267" s="74"/>
      <c r="E267" s="78"/>
    </row>
    <row r="268">
      <c r="A268" s="35"/>
      <c r="B268" s="5"/>
      <c r="C268" s="77"/>
      <c r="D268" s="74"/>
      <c r="E268" s="78"/>
    </row>
    <row r="269">
      <c r="A269" s="35"/>
      <c r="B269" s="5"/>
      <c r="C269" s="77"/>
      <c r="D269" s="74"/>
      <c r="E269" s="78"/>
    </row>
    <row r="270">
      <c r="A270" s="35"/>
      <c r="B270" s="5"/>
      <c r="C270" s="77"/>
      <c r="D270" s="74"/>
      <c r="E270" s="78"/>
    </row>
    <row r="271">
      <c r="A271" s="35"/>
      <c r="B271" s="5"/>
      <c r="C271" s="77"/>
      <c r="D271" s="74"/>
      <c r="E271" s="78"/>
    </row>
    <row r="272">
      <c r="A272" s="35"/>
      <c r="B272" s="5"/>
      <c r="C272" s="77"/>
      <c r="D272" s="74"/>
      <c r="E272" s="78"/>
    </row>
    <row r="273">
      <c r="A273" s="35"/>
      <c r="B273" s="5"/>
      <c r="C273" s="77"/>
      <c r="D273" s="74"/>
      <c r="E273" s="78"/>
    </row>
    <row r="274">
      <c r="A274" s="35"/>
      <c r="B274" s="5"/>
      <c r="C274" s="77"/>
      <c r="D274" s="74"/>
      <c r="E274" s="78"/>
    </row>
    <row r="275">
      <c r="A275" s="35"/>
      <c r="B275" s="5"/>
      <c r="C275" s="77"/>
      <c r="D275" s="74"/>
      <c r="E275" s="78"/>
    </row>
    <row r="276">
      <c r="A276" s="35"/>
      <c r="B276" s="5"/>
      <c r="C276" s="77"/>
      <c r="D276" s="74"/>
      <c r="E276" s="78"/>
    </row>
    <row r="277">
      <c r="A277" s="35"/>
      <c r="B277" s="5"/>
      <c r="C277" s="77"/>
      <c r="D277" s="74"/>
      <c r="E277" s="78"/>
    </row>
    <row r="278">
      <c r="A278" s="35"/>
      <c r="B278" s="5"/>
      <c r="C278" s="77"/>
      <c r="D278" s="74"/>
      <c r="E278" s="78"/>
    </row>
    <row r="279">
      <c r="A279" s="35"/>
      <c r="B279" s="5"/>
      <c r="C279" s="77"/>
      <c r="D279" s="74"/>
      <c r="E279" s="78"/>
    </row>
    <row r="280">
      <c r="A280" s="35"/>
      <c r="B280" s="5"/>
      <c r="C280" s="77"/>
      <c r="D280" s="74"/>
      <c r="E280" s="78"/>
    </row>
    <row r="281">
      <c r="A281" s="35"/>
      <c r="B281" s="5"/>
      <c r="C281" s="77"/>
      <c r="D281" s="74"/>
      <c r="E281" s="78"/>
    </row>
    <row r="282">
      <c r="A282" s="35"/>
      <c r="B282" s="5"/>
      <c r="C282" s="77"/>
      <c r="D282" s="74"/>
      <c r="E282" s="78"/>
    </row>
    <row r="283">
      <c r="A283" s="35"/>
      <c r="B283" s="5"/>
      <c r="C283" s="77"/>
      <c r="D283" s="74"/>
      <c r="E283" s="78"/>
    </row>
    <row r="284">
      <c r="A284" s="35"/>
      <c r="B284" s="5"/>
      <c r="C284" s="77"/>
      <c r="D284" s="74"/>
      <c r="E284" s="78"/>
    </row>
    <row r="285">
      <c r="A285" s="35"/>
      <c r="B285" s="5"/>
      <c r="C285" s="77"/>
      <c r="D285" s="74"/>
      <c r="E285" s="78"/>
    </row>
    <row r="286">
      <c r="A286" s="35"/>
      <c r="B286" s="5"/>
      <c r="C286" s="77"/>
      <c r="D286" s="74"/>
      <c r="E286" s="78"/>
    </row>
    <row r="287">
      <c r="A287" s="35"/>
      <c r="B287" s="5"/>
      <c r="C287" s="77"/>
      <c r="D287" s="74"/>
      <c r="E287" s="78"/>
    </row>
    <row r="288">
      <c r="A288" s="35"/>
      <c r="B288" s="5"/>
      <c r="C288" s="77"/>
      <c r="D288" s="74"/>
      <c r="E288" s="78"/>
    </row>
    <row r="289">
      <c r="A289" s="35"/>
      <c r="B289" s="5"/>
      <c r="C289" s="77"/>
      <c r="D289" s="74"/>
      <c r="E289" s="78"/>
    </row>
    <row r="290">
      <c r="A290" s="35"/>
      <c r="B290" s="5"/>
      <c r="C290" s="77"/>
      <c r="D290" s="74"/>
      <c r="E290" s="78"/>
    </row>
    <row r="291">
      <c r="A291" s="35"/>
      <c r="B291" s="5"/>
      <c r="C291" s="77"/>
      <c r="D291" s="74"/>
      <c r="E291" s="78"/>
    </row>
    <row r="292">
      <c r="A292" s="35"/>
      <c r="B292" s="5"/>
      <c r="C292" s="77"/>
      <c r="D292" s="74"/>
      <c r="E292" s="78"/>
    </row>
    <row r="293">
      <c r="A293" s="35"/>
      <c r="B293" s="5"/>
      <c r="C293" s="77"/>
      <c r="D293" s="74"/>
      <c r="E293" s="78"/>
    </row>
    <row r="294">
      <c r="A294" s="35"/>
      <c r="B294" s="5"/>
      <c r="C294" s="77"/>
      <c r="D294" s="74"/>
      <c r="E294" s="78"/>
    </row>
    <row r="295">
      <c r="A295" s="35"/>
      <c r="B295" s="5"/>
      <c r="C295" s="77"/>
      <c r="D295" s="74"/>
      <c r="E295" s="78"/>
    </row>
    <row r="296">
      <c r="A296" s="35"/>
      <c r="B296" s="5"/>
      <c r="C296" s="77"/>
      <c r="D296" s="74"/>
      <c r="E296" s="78"/>
    </row>
    <row r="297">
      <c r="A297" s="35"/>
      <c r="B297" s="5"/>
      <c r="C297" s="77"/>
      <c r="D297" s="74"/>
      <c r="E297" s="78"/>
    </row>
    <row r="298">
      <c r="A298" s="35"/>
      <c r="B298" s="5"/>
      <c r="C298" s="77"/>
      <c r="D298" s="74"/>
      <c r="E298" s="78"/>
    </row>
    <row r="299">
      <c r="A299" s="35"/>
      <c r="B299" s="5"/>
      <c r="C299" s="77"/>
      <c r="D299" s="74"/>
      <c r="E299" s="78"/>
    </row>
    <row r="300">
      <c r="A300" s="35"/>
      <c r="B300" s="5"/>
      <c r="C300" s="77"/>
      <c r="D300" s="74"/>
      <c r="E300" s="78"/>
    </row>
    <row r="301">
      <c r="A301" s="35"/>
      <c r="B301" s="5"/>
      <c r="C301" s="77"/>
      <c r="D301" s="74"/>
      <c r="E301" s="78"/>
    </row>
    <row r="302">
      <c r="A302" s="35"/>
      <c r="B302" s="5"/>
      <c r="C302" s="77"/>
      <c r="D302" s="74"/>
      <c r="E302" s="78"/>
    </row>
    <row r="303">
      <c r="A303" s="35"/>
      <c r="B303" s="5"/>
      <c r="C303" s="77"/>
      <c r="D303" s="74"/>
      <c r="E303" s="78"/>
    </row>
    <row r="304">
      <c r="A304" s="35"/>
      <c r="B304" s="5"/>
      <c r="C304" s="77"/>
      <c r="D304" s="74"/>
      <c r="E304" s="78"/>
    </row>
    <row r="305">
      <c r="A305" s="35"/>
      <c r="B305" s="5"/>
      <c r="C305" s="77"/>
      <c r="D305" s="74"/>
      <c r="E305" s="78"/>
    </row>
    <row r="306">
      <c r="A306" s="35"/>
      <c r="B306" s="5"/>
      <c r="C306" s="77"/>
      <c r="D306" s="74"/>
      <c r="E306" s="78"/>
    </row>
    <row r="307">
      <c r="A307" s="35"/>
      <c r="B307" s="5"/>
      <c r="C307" s="77"/>
      <c r="D307" s="74"/>
      <c r="E307" s="78"/>
    </row>
    <row r="308">
      <c r="A308" s="35"/>
      <c r="B308" s="5"/>
      <c r="C308" s="77"/>
      <c r="D308" s="74"/>
      <c r="E308" s="78"/>
    </row>
    <row r="309">
      <c r="A309" s="35"/>
      <c r="B309" s="5"/>
      <c r="C309" s="77"/>
      <c r="D309" s="74"/>
      <c r="E309" s="78"/>
    </row>
    <row r="310">
      <c r="A310" s="35"/>
      <c r="B310" s="5"/>
      <c r="C310" s="77"/>
      <c r="D310" s="74"/>
      <c r="E310" s="78"/>
    </row>
    <row r="311">
      <c r="A311" s="35"/>
      <c r="B311" s="5"/>
      <c r="C311" s="77"/>
      <c r="D311" s="74"/>
      <c r="E311" s="78"/>
    </row>
    <row r="312">
      <c r="A312" s="35"/>
      <c r="B312" s="5"/>
      <c r="C312" s="77"/>
      <c r="D312" s="74"/>
      <c r="E312" s="78"/>
    </row>
    <row r="313">
      <c r="A313" s="35"/>
      <c r="B313" s="5"/>
      <c r="C313" s="77"/>
      <c r="D313" s="74"/>
      <c r="E313" s="78"/>
    </row>
    <row r="314">
      <c r="A314" s="35"/>
      <c r="B314" s="5"/>
      <c r="C314" s="77"/>
      <c r="D314" s="74"/>
      <c r="E314" s="78"/>
    </row>
    <row r="315">
      <c r="A315" s="35"/>
      <c r="B315" s="5"/>
      <c r="C315" s="77"/>
      <c r="D315" s="74"/>
      <c r="E315" s="78"/>
    </row>
    <row r="316">
      <c r="A316" s="35"/>
      <c r="B316" s="5"/>
      <c r="C316" s="77"/>
      <c r="D316" s="74"/>
      <c r="E316" s="78"/>
    </row>
    <row r="317">
      <c r="A317" s="35"/>
      <c r="B317" s="5"/>
      <c r="C317" s="77"/>
      <c r="D317" s="74"/>
      <c r="E317" s="78"/>
    </row>
    <row r="318">
      <c r="A318" s="35"/>
      <c r="B318" s="5"/>
      <c r="C318" s="77"/>
      <c r="D318" s="74"/>
      <c r="E318" s="78"/>
    </row>
    <row r="319">
      <c r="A319" s="35"/>
      <c r="B319" s="5"/>
      <c r="C319" s="77"/>
      <c r="D319" s="74"/>
      <c r="E319" s="78"/>
    </row>
    <row r="320">
      <c r="A320" s="35"/>
      <c r="B320" s="5"/>
      <c r="C320" s="77"/>
      <c r="D320" s="74"/>
      <c r="E320" s="78"/>
    </row>
    <row r="321">
      <c r="A321" s="35"/>
      <c r="B321" s="5"/>
      <c r="C321" s="77"/>
      <c r="D321" s="74"/>
      <c r="E321" s="78"/>
    </row>
    <row r="322">
      <c r="A322" s="35"/>
      <c r="B322" s="5"/>
      <c r="C322" s="77"/>
      <c r="D322" s="74"/>
      <c r="E322" s="78"/>
    </row>
    <row r="323">
      <c r="A323" s="35"/>
      <c r="B323" s="5"/>
      <c r="C323" s="77"/>
      <c r="D323" s="74"/>
      <c r="E323" s="78"/>
    </row>
    <row r="324">
      <c r="A324" s="35"/>
      <c r="B324" s="5"/>
      <c r="C324" s="77"/>
      <c r="D324" s="74"/>
      <c r="E324" s="78"/>
    </row>
    <row r="325">
      <c r="A325" s="35"/>
      <c r="B325" s="5"/>
      <c r="C325" s="77"/>
      <c r="D325" s="74"/>
      <c r="E325" s="78"/>
    </row>
    <row r="326">
      <c r="A326" s="35"/>
      <c r="B326" s="5"/>
      <c r="C326" s="77"/>
      <c r="D326" s="74"/>
      <c r="E326" s="78"/>
    </row>
    <row r="327">
      <c r="A327" s="35"/>
      <c r="B327" s="5"/>
      <c r="C327" s="77"/>
      <c r="D327" s="74"/>
      <c r="E327" s="78"/>
    </row>
    <row r="328">
      <c r="A328" s="35"/>
      <c r="B328" s="5"/>
      <c r="C328" s="77"/>
      <c r="D328" s="74"/>
      <c r="E328" s="78"/>
    </row>
    <row r="329">
      <c r="A329" s="35"/>
      <c r="B329" s="5"/>
      <c r="C329" s="77"/>
      <c r="D329" s="74"/>
      <c r="E329" s="78"/>
    </row>
    <row r="330">
      <c r="A330" s="35"/>
      <c r="B330" s="5"/>
      <c r="C330" s="77"/>
      <c r="D330" s="74"/>
      <c r="E330" s="78"/>
    </row>
    <row r="331">
      <c r="A331" s="35"/>
      <c r="B331" s="5"/>
      <c r="C331" s="77"/>
      <c r="D331" s="74"/>
      <c r="E331" s="78"/>
    </row>
    <row r="332">
      <c r="A332" s="35"/>
      <c r="B332" s="5"/>
      <c r="C332" s="77"/>
      <c r="D332" s="74"/>
      <c r="E332" s="78"/>
    </row>
    <row r="333">
      <c r="A333" s="35"/>
      <c r="B333" s="5"/>
      <c r="C333" s="77"/>
      <c r="D333" s="74"/>
      <c r="E333" s="78"/>
    </row>
    <row r="334">
      <c r="A334" s="35"/>
      <c r="B334" s="5"/>
      <c r="C334" s="77"/>
      <c r="D334" s="74"/>
      <c r="E334" s="78"/>
    </row>
    <row r="335">
      <c r="A335" s="35"/>
      <c r="B335" s="5"/>
      <c r="C335" s="77"/>
      <c r="D335" s="74"/>
      <c r="E335" s="78"/>
    </row>
    <row r="336">
      <c r="A336" s="35"/>
      <c r="B336" s="5"/>
      <c r="C336" s="77"/>
      <c r="D336" s="74"/>
      <c r="E336" s="78"/>
    </row>
    <row r="337">
      <c r="A337" s="35"/>
      <c r="B337" s="5"/>
      <c r="C337" s="77"/>
      <c r="D337" s="74"/>
      <c r="E337" s="78"/>
    </row>
    <row r="338">
      <c r="A338" s="35"/>
      <c r="B338" s="5"/>
      <c r="C338" s="77"/>
      <c r="D338" s="74"/>
      <c r="E338" s="78"/>
    </row>
    <row r="339">
      <c r="A339" s="35"/>
      <c r="B339" s="5"/>
      <c r="C339" s="77"/>
      <c r="D339" s="74"/>
      <c r="E339" s="78"/>
    </row>
    <row r="340">
      <c r="A340" s="35"/>
      <c r="B340" s="5"/>
      <c r="C340" s="77"/>
      <c r="D340" s="74"/>
      <c r="E340" s="78"/>
    </row>
    <row r="341">
      <c r="A341" s="35"/>
      <c r="B341" s="5"/>
      <c r="C341" s="77"/>
      <c r="D341" s="74"/>
      <c r="E341" s="78"/>
    </row>
    <row r="342">
      <c r="A342" s="35"/>
      <c r="B342" s="5"/>
      <c r="C342" s="77"/>
      <c r="D342" s="74"/>
      <c r="E342" s="78"/>
    </row>
    <row r="343">
      <c r="A343" s="35"/>
      <c r="B343" s="5"/>
      <c r="C343" s="77"/>
      <c r="D343" s="74"/>
      <c r="E343" s="78"/>
    </row>
    <row r="344">
      <c r="A344" s="35"/>
      <c r="B344" s="5"/>
      <c r="C344" s="77"/>
      <c r="D344" s="74"/>
      <c r="E344" s="78"/>
    </row>
    <row r="345">
      <c r="A345" s="35"/>
      <c r="B345" s="5"/>
      <c r="C345" s="77"/>
      <c r="D345" s="74"/>
      <c r="E345" s="78"/>
    </row>
    <row r="346">
      <c r="A346" s="35"/>
      <c r="B346" s="5"/>
      <c r="C346" s="77"/>
      <c r="D346" s="74"/>
      <c r="E346" s="78"/>
    </row>
    <row r="347">
      <c r="A347" s="35"/>
      <c r="B347" s="5"/>
      <c r="C347" s="77"/>
      <c r="D347" s="74"/>
      <c r="E347" s="78"/>
    </row>
    <row r="348">
      <c r="A348" s="35"/>
      <c r="B348" s="5"/>
      <c r="C348" s="77"/>
      <c r="D348" s="74"/>
      <c r="E348" s="78"/>
    </row>
    <row r="349">
      <c r="A349" s="35"/>
      <c r="B349" s="5"/>
      <c r="C349" s="77"/>
      <c r="D349" s="74"/>
      <c r="E349" s="78"/>
    </row>
    <row r="350">
      <c r="A350" s="35"/>
      <c r="B350" s="5"/>
      <c r="C350" s="77"/>
      <c r="D350" s="74"/>
      <c r="E350" s="78"/>
    </row>
    <row r="351">
      <c r="A351" s="35"/>
      <c r="B351" s="5"/>
      <c r="C351" s="77"/>
      <c r="D351" s="74"/>
      <c r="E351" s="78"/>
    </row>
    <row r="352">
      <c r="A352" s="35"/>
      <c r="B352" s="5"/>
      <c r="C352" s="77"/>
      <c r="D352" s="74"/>
      <c r="E352" s="78"/>
    </row>
    <row r="353">
      <c r="A353" s="35"/>
      <c r="B353" s="5"/>
      <c r="C353" s="77"/>
      <c r="D353" s="74"/>
      <c r="E353" s="78"/>
    </row>
    <row r="354">
      <c r="A354" s="35"/>
      <c r="B354" s="5"/>
      <c r="C354" s="77"/>
      <c r="D354" s="74"/>
      <c r="E354" s="78"/>
    </row>
    <row r="355">
      <c r="A355" s="35"/>
      <c r="B355" s="5"/>
      <c r="C355" s="77"/>
      <c r="D355" s="74"/>
      <c r="E355" s="78"/>
    </row>
    <row r="356">
      <c r="A356" s="35"/>
      <c r="B356" s="5"/>
      <c r="C356" s="77"/>
      <c r="D356" s="74"/>
      <c r="E356" s="78"/>
    </row>
    <row r="357">
      <c r="A357" s="35"/>
      <c r="B357" s="5"/>
      <c r="C357" s="77"/>
      <c r="D357" s="74"/>
      <c r="E357" s="78"/>
    </row>
    <row r="358">
      <c r="A358" s="35"/>
      <c r="B358" s="5"/>
      <c r="C358" s="77"/>
      <c r="D358" s="74"/>
      <c r="E358" s="78"/>
    </row>
    <row r="359">
      <c r="A359" s="35"/>
      <c r="B359" s="5"/>
      <c r="C359" s="77"/>
      <c r="D359" s="74"/>
      <c r="E359" s="78"/>
    </row>
    <row r="360">
      <c r="A360" s="35"/>
      <c r="B360" s="5"/>
      <c r="C360" s="77"/>
      <c r="D360" s="74"/>
      <c r="E360" s="78"/>
    </row>
    <row r="361">
      <c r="A361" s="35"/>
      <c r="B361" s="5"/>
      <c r="C361" s="77"/>
      <c r="D361" s="74"/>
      <c r="E361" s="78"/>
    </row>
    <row r="362">
      <c r="A362" s="35"/>
      <c r="B362" s="5"/>
      <c r="C362" s="77"/>
      <c r="D362" s="74"/>
      <c r="E362" s="78"/>
    </row>
    <row r="363">
      <c r="A363" s="35"/>
      <c r="B363" s="5"/>
      <c r="C363" s="77"/>
      <c r="D363" s="74"/>
      <c r="E363" s="78"/>
    </row>
    <row r="364">
      <c r="A364" s="35"/>
      <c r="B364" s="5"/>
      <c r="C364" s="77"/>
      <c r="D364" s="74"/>
      <c r="E364" s="78"/>
    </row>
    <row r="365">
      <c r="A365" s="35"/>
      <c r="B365" s="5"/>
      <c r="C365" s="77"/>
      <c r="D365" s="74"/>
      <c r="E365" s="78"/>
    </row>
    <row r="366">
      <c r="A366" s="35"/>
      <c r="B366" s="5"/>
      <c r="C366" s="77"/>
      <c r="D366" s="74"/>
      <c r="E366" s="78"/>
    </row>
    <row r="367">
      <c r="A367" s="35"/>
      <c r="B367" s="5"/>
      <c r="C367" s="77"/>
      <c r="D367" s="74"/>
      <c r="E367" s="78"/>
    </row>
    <row r="368">
      <c r="A368" s="35"/>
      <c r="B368" s="5"/>
      <c r="C368" s="77"/>
      <c r="D368" s="74"/>
      <c r="E368" s="78"/>
    </row>
    <row r="369">
      <c r="A369" s="35"/>
      <c r="B369" s="5"/>
      <c r="C369" s="77"/>
      <c r="D369" s="74"/>
      <c r="E369" s="78"/>
    </row>
    <row r="370">
      <c r="A370" s="35"/>
      <c r="B370" s="5"/>
      <c r="C370" s="77"/>
      <c r="D370" s="74"/>
      <c r="E370" s="78"/>
    </row>
    <row r="371">
      <c r="A371" s="35"/>
      <c r="B371" s="5"/>
      <c r="C371" s="77"/>
      <c r="D371" s="74"/>
      <c r="E371" s="78"/>
    </row>
    <row r="372">
      <c r="A372" s="35"/>
      <c r="B372" s="5"/>
      <c r="C372" s="77"/>
      <c r="D372" s="74"/>
      <c r="E372" s="78"/>
    </row>
    <row r="373">
      <c r="A373" s="35"/>
      <c r="B373" s="5"/>
      <c r="C373" s="77"/>
      <c r="D373" s="74"/>
      <c r="E373" s="78"/>
    </row>
    <row r="374">
      <c r="A374" s="35"/>
      <c r="B374" s="5"/>
      <c r="C374" s="77"/>
      <c r="D374" s="74"/>
      <c r="E374" s="78"/>
    </row>
    <row r="375">
      <c r="A375" s="35"/>
      <c r="B375" s="5"/>
      <c r="C375" s="77"/>
      <c r="D375" s="74"/>
      <c r="E375" s="78"/>
    </row>
    <row r="376">
      <c r="A376" s="35"/>
      <c r="B376" s="5"/>
      <c r="C376" s="77"/>
      <c r="D376" s="74"/>
      <c r="E376" s="78"/>
    </row>
    <row r="377">
      <c r="A377" s="35"/>
      <c r="B377" s="5"/>
      <c r="C377" s="77"/>
      <c r="D377" s="74"/>
      <c r="E377" s="78"/>
    </row>
    <row r="378">
      <c r="A378" s="35"/>
      <c r="B378" s="5"/>
      <c r="C378" s="77"/>
      <c r="D378" s="74"/>
      <c r="E378" s="78"/>
    </row>
    <row r="379">
      <c r="A379" s="35"/>
      <c r="B379" s="5"/>
      <c r="C379" s="77"/>
      <c r="D379" s="74"/>
      <c r="E379" s="78"/>
    </row>
    <row r="380">
      <c r="A380" s="35"/>
      <c r="B380" s="5"/>
      <c r="C380" s="77"/>
      <c r="D380" s="74"/>
      <c r="E380" s="78"/>
    </row>
    <row r="381">
      <c r="A381" s="35"/>
      <c r="B381" s="5"/>
      <c r="C381" s="77"/>
      <c r="D381" s="74"/>
      <c r="E381" s="78"/>
    </row>
    <row r="382">
      <c r="A382" s="35"/>
      <c r="B382" s="5"/>
      <c r="C382" s="77"/>
      <c r="D382" s="74"/>
      <c r="E382" s="78"/>
    </row>
    <row r="383">
      <c r="A383" s="35"/>
      <c r="B383" s="5"/>
      <c r="C383" s="77"/>
      <c r="D383" s="74"/>
      <c r="E383" s="78"/>
    </row>
    <row r="384">
      <c r="A384" s="35"/>
      <c r="B384" s="5"/>
      <c r="C384" s="77"/>
      <c r="D384" s="74"/>
      <c r="E384" s="78"/>
    </row>
    <row r="385">
      <c r="A385" s="35"/>
      <c r="B385" s="5"/>
      <c r="C385" s="77"/>
      <c r="D385" s="74"/>
      <c r="E385" s="78"/>
    </row>
    <row r="386">
      <c r="A386" s="35"/>
      <c r="B386" s="5"/>
      <c r="C386" s="77"/>
      <c r="D386" s="74"/>
      <c r="E386" s="78"/>
    </row>
    <row r="387">
      <c r="A387" s="35"/>
      <c r="B387" s="5"/>
      <c r="C387" s="77"/>
      <c r="D387" s="74"/>
      <c r="E387" s="78"/>
    </row>
    <row r="388">
      <c r="A388" s="35"/>
      <c r="B388" s="5"/>
      <c r="C388" s="77"/>
      <c r="D388" s="74"/>
      <c r="E388" s="78"/>
    </row>
    <row r="389">
      <c r="A389" s="35"/>
      <c r="B389" s="5"/>
      <c r="C389" s="77"/>
      <c r="D389" s="74"/>
      <c r="E389" s="78"/>
    </row>
    <row r="390">
      <c r="A390" s="35"/>
      <c r="B390" s="5"/>
      <c r="C390" s="77"/>
      <c r="D390" s="74"/>
      <c r="E390" s="78"/>
    </row>
    <row r="391">
      <c r="A391" s="35"/>
      <c r="B391" s="5"/>
      <c r="C391" s="77"/>
      <c r="D391" s="74"/>
      <c r="E391" s="78"/>
    </row>
    <row r="392">
      <c r="A392" s="35"/>
      <c r="B392" s="5"/>
      <c r="C392" s="77"/>
      <c r="D392" s="74"/>
      <c r="E392" s="78"/>
    </row>
    <row r="393">
      <c r="A393" s="35"/>
      <c r="B393" s="5"/>
      <c r="C393" s="77"/>
      <c r="D393" s="74"/>
      <c r="E393" s="78"/>
    </row>
    <row r="394">
      <c r="A394" s="35"/>
      <c r="B394" s="5"/>
      <c r="C394" s="77"/>
      <c r="D394" s="74"/>
      <c r="E394" s="78"/>
    </row>
    <row r="395">
      <c r="A395" s="35"/>
      <c r="B395" s="5"/>
      <c r="C395" s="77"/>
      <c r="D395" s="74"/>
      <c r="E395" s="78"/>
    </row>
    <row r="396">
      <c r="A396" s="35"/>
      <c r="B396" s="5"/>
      <c r="C396" s="77"/>
      <c r="D396" s="74"/>
      <c r="E396" s="78"/>
    </row>
    <row r="397">
      <c r="A397" s="35"/>
      <c r="B397" s="5"/>
      <c r="C397" s="77"/>
      <c r="D397" s="74"/>
      <c r="E397" s="78"/>
    </row>
    <row r="398">
      <c r="A398" s="35"/>
      <c r="B398" s="5"/>
      <c r="C398" s="77"/>
      <c r="D398" s="74"/>
      <c r="E398" s="78"/>
    </row>
    <row r="399">
      <c r="A399" s="35"/>
      <c r="B399" s="5"/>
      <c r="C399" s="77"/>
      <c r="D399" s="74"/>
      <c r="E399" s="78"/>
    </row>
    <row r="400">
      <c r="A400" s="35"/>
      <c r="B400" s="5"/>
      <c r="C400" s="77"/>
      <c r="D400" s="74"/>
      <c r="E400" s="78"/>
    </row>
    <row r="401">
      <c r="A401" s="35"/>
      <c r="B401" s="5"/>
      <c r="C401" s="77"/>
      <c r="D401" s="74"/>
      <c r="E401" s="78"/>
    </row>
    <row r="402">
      <c r="A402" s="35"/>
      <c r="B402" s="5"/>
      <c r="C402" s="77"/>
      <c r="D402" s="74"/>
      <c r="E402" s="78"/>
    </row>
    <row r="403">
      <c r="A403" s="35"/>
      <c r="B403" s="5"/>
      <c r="C403" s="77"/>
      <c r="D403" s="74"/>
      <c r="E403" s="78"/>
    </row>
    <row r="404">
      <c r="A404" s="35"/>
      <c r="B404" s="5"/>
      <c r="C404" s="77"/>
      <c r="D404" s="74"/>
      <c r="E404" s="78"/>
    </row>
    <row r="405">
      <c r="A405" s="35"/>
      <c r="B405" s="5"/>
      <c r="C405" s="77"/>
      <c r="D405" s="74"/>
      <c r="E405" s="78"/>
    </row>
    <row r="406">
      <c r="A406" s="35"/>
      <c r="B406" s="5"/>
      <c r="C406" s="77"/>
      <c r="D406" s="74"/>
      <c r="E406" s="78"/>
    </row>
    <row r="407">
      <c r="A407" s="35"/>
      <c r="B407" s="5"/>
      <c r="C407" s="77"/>
      <c r="D407" s="74"/>
      <c r="E407" s="78"/>
    </row>
    <row r="408">
      <c r="A408" s="35"/>
      <c r="B408" s="5"/>
      <c r="C408" s="77"/>
      <c r="D408" s="74"/>
      <c r="E408" s="78"/>
    </row>
    <row r="409">
      <c r="A409" s="35"/>
      <c r="B409" s="5"/>
      <c r="C409" s="77"/>
      <c r="D409" s="74"/>
      <c r="E409" s="78"/>
    </row>
    <row r="410">
      <c r="A410" s="35"/>
      <c r="B410" s="5"/>
      <c r="C410" s="77"/>
      <c r="D410" s="74"/>
      <c r="E410" s="78"/>
    </row>
    <row r="411">
      <c r="A411" s="35"/>
      <c r="B411" s="5"/>
      <c r="C411" s="77"/>
      <c r="D411" s="74"/>
      <c r="E411" s="78"/>
    </row>
    <row r="412">
      <c r="A412" s="35"/>
      <c r="B412" s="5"/>
      <c r="C412" s="77"/>
      <c r="D412" s="74"/>
      <c r="E412" s="78"/>
    </row>
    <row r="413">
      <c r="A413" s="35"/>
      <c r="B413" s="5"/>
      <c r="C413" s="77"/>
      <c r="D413" s="74"/>
      <c r="E413" s="78"/>
    </row>
    <row r="414">
      <c r="A414" s="35"/>
      <c r="B414" s="5"/>
      <c r="C414" s="77"/>
      <c r="D414" s="74"/>
      <c r="E414" s="78"/>
    </row>
    <row r="415">
      <c r="A415" s="35"/>
      <c r="B415" s="5"/>
      <c r="C415" s="77"/>
      <c r="D415" s="74"/>
      <c r="E415" s="78"/>
    </row>
    <row r="416">
      <c r="A416" s="35"/>
      <c r="B416" s="5"/>
      <c r="C416" s="77"/>
      <c r="D416" s="74"/>
      <c r="E416" s="78"/>
    </row>
    <row r="417">
      <c r="A417" s="35"/>
      <c r="B417" s="5"/>
      <c r="C417" s="77"/>
      <c r="D417" s="74"/>
      <c r="E417" s="78"/>
    </row>
    <row r="418">
      <c r="A418" s="35"/>
      <c r="B418" s="5"/>
      <c r="C418" s="77"/>
      <c r="D418" s="74"/>
      <c r="E418" s="78"/>
    </row>
    <row r="419">
      <c r="A419" s="35"/>
      <c r="B419" s="5"/>
      <c r="C419" s="77"/>
      <c r="D419" s="74"/>
      <c r="E419" s="78"/>
    </row>
    <row r="420">
      <c r="A420" s="35"/>
      <c r="B420" s="5"/>
      <c r="C420" s="77"/>
      <c r="D420" s="74"/>
      <c r="E420" s="78"/>
    </row>
    <row r="421">
      <c r="A421" s="35"/>
      <c r="B421" s="5"/>
      <c r="C421" s="77"/>
      <c r="D421" s="74"/>
      <c r="E421" s="78"/>
    </row>
    <row r="422">
      <c r="A422" s="35"/>
      <c r="B422" s="5"/>
      <c r="C422" s="77"/>
      <c r="D422" s="74"/>
      <c r="E422" s="78"/>
    </row>
    <row r="423">
      <c r="A423" s="35"/>
      <c r="B423" s="5"/>
      <c r="C423" s="77"/>
      <c r="D423" s="74"/>
      <c r="E423" s="78"/>
    </row>
    <row r="424">
      <c r="A424" s="35"/>
      <c r="B424" s="5"/>
      <c r="C424" s="77"/>
      <c r="D424" s="74"/>
      <c r="E424" s="78"/>
    </row>
    <row r="425">
      <c r="A425" s="35"/>
      <c r="B425" s="5"/>
      <c r="C425" s="77"/>
      <c r="D425" s="74"/>
      <c r="E425" s="78"/>
    </row>
    <row r="426">
      <c r="A426" s="35"/>
      <c r="B426" s="5"/>
      <c r="C426" s="77"/>
      <c r="D426" s="74"/>
      <c r="E426" s="78"/>
    </row>
    <row r="427">
      <c r="A427" s="35"/>
      <c r="B427" s="5"/>
      <c r="C427" s="77"/>
      <c r="D427" s="74"/>
      <c r="E427" s="78"/>
    </row>
    <row r="428">
      <c r="A428" s="35"/>
      <c r="B428" s="5"/>
      <c r="C428" s="77"/>
      <c r="D428" s="74"/>
      <c r="E428" s="78"/>
    </row>
    <row r="429">
      <c r="A429" s="35"/>
      <c r="B429" s="5"/>
      <c r="C429" s="77"/>
      <c r="D429" s="74"/>
      <c r="E429" s="78"/>
    </row>
    <row r="430">
      <c r="A430" s="35"/>
      <c r="B430" s="5"/>
      <c r="C430" s="77"/>
      <c r="D430" s="74"/>
      <c r="E430" s="78"/>
    </row>
    <row r="431">
      <c r="A431" s="35"/>
      <c r="B431" s="5"/>
      <c r="C431" s="77"/>
      <c r="D431" s="74"/>
      <c r="E431" s="78"/>
    </row>
    <row r="432">
      <c r="A432" s="35"/>
      <c r="B432" s="5"/>
      <c r="C432" s="77"/>
      <c r="D432" s="74"/>
      <c r="E432" s="78"/>
    </row>
    <row r="433">
      <c r="A433" s="35"/>
      <c r="B433" s="5"/>
      <c r="C433" s="77"/>
      <c r="D433" s="74"/>
      <c r="E433" s="78"/>
    </row>
    <row r="434">
      <c r="A434" s="35"/>
      <c r="B434" s="5"/>
      <c r="C434" s="77"/>
      <c r="D434" s="74"/>
      <c r="E434" s="78"/>
    </row>
    <row r="435">
      <c r="A435" s="35"/>
      <c r="B435" s="5"/>
      <c r="C435" s="77"/>
      <c r="D435" s="74"/>
      <c r="E435" s="78"/>
    </row>
    <row r="436">
      <c r="A436" s="35"/>
      <c r="B436" s="5"/>
      <c r="C436" s="77"/>
      <c r="D436" s="74"/>
      <c r="E436" s="78"/>
    </row>
    <row r="437">
      <c r="A437" s="35"/>
      <c r="B437" s="5"/>
      <c r="C437" s="77"/>
      <c r="D437" s="74"/>
      <c r="E437" s="78"/>
    </row>
    <row r="438">
      <c r="A438" s="35"/>
      <c r="B438" s="5"/>
      <c r="C438" s="77"/>
      <c r="D438" s="74"/>
      <c r="E438" s="78"/>
    </row>
    <row r="439">
      <c r="A439" s="35"/>
      <c r="B439" s="5"/>
      <c r="C439" s="77"/>
      <c r="D439" s="74"/>
      <c r="E439" s="78"/>
    </row>
    <row r="440">
      <c r="A440" s="35"/>
      <c r="B440" s="5"/>
      <c r="C440" s="77"/>
      <c r="D440" s="74"/>
      <c r="E440" s="78"/>
    </row>
    <row r="441">
      <c r="A441" s="35"/>
      <c r="B441" s="5"/>
      <c r="C441" s="77"/>
      <c r="D441" s="74"/>
      <c r="E441" s="78"/>
    </row>
    <row r="442">
      <c r="A442" s="35"/>
      <c r="B442" s="5"/>
      <c r="C442" s="77"/>
      <c r="D442" s="74"/>
      <c r="E442" s="78"/>
    </row>
    <row r="443">
      <c r="A443" s="35"/>
      <c r="B443" s="5"/>
      <c r="C443" s="77"/>
      <c r="D443" s="74"/>
      <c r="E443" s="78"/>
    </row>
    <row r="444">
      <c r="A444" s="35"/>
      <c r="B444" s="5"/>
      <c r="C444" s="77"/>
      <c r="D444" s="74"/>
      <c r="E444" s="78"/>
    </row>
    <row r="445">
      <c r="A445" s="35"/>
      <c r="B445" s="5"/>
      <c r="C445" s="77"/>
      <c r="D445" s="74"/>
      <c r="E445" s="78"/>
    </row>
    <row r="446">
      <c r="A446" s="35"/>
      <c r="B446" s="5"/>
      <c r="C446" s="77"/>
      <c r="D446" s="74"/>
      <c r="E446" s="78"/>
    </row>
    <row r="447">
      <c r="A447" s="35"/>
      <c r="B447" s="5"/>
      <c r="C447" s="77"/>
      <c r="D447" s="74"/>
      <c r="E447" s="78"/>
    </row>
    <row r="448">
      <c r="A448" s="35"/>
      <c r="B448" s="5"/>
      <c r="C448" s="77"/>
      <c r="D448" s="74"/>
      <c r="E448" s="78"/>
    </row>
    <row r="449">
      <c r="A449" s="35"/>
      <c r="B449" s="5"/>
      <c r="C449" s="77"/>
      <c r="D449" s="74"/>
      <c r="E449" s="78"/>
    </row>
    <row r="450">
      <c r="A450" s="35"/>
      <c r="B450" s="5"/>
      <c r="C450" s="77"/>
      <c r="D450" s="74"/>
      <c r="E450" s="78"/>
    </row>
    <row r="451">
      <c r="A451" s="35"/>
      <c r="B451" s="5"/>
      <c r="C451" s="77"/>
      <c r="D451" s="74"/>
      <c r="E451" s="78"/>
    </row>
    <row r="452">
      <c r="A452" s="35"/>
      <c r="B452" s="5"/>
      <c r="C452" s="77"/>
      <c r="D452" s="74"/>
      <c r="E452" s="78"/>
    </row>
    <row r="453">
      <c r="A453" s="35"/>
      <c r="B453" s="5"/>
      <c r="C453" s="77"/>
      <c r="D453" s="74"/>
      <c r="E453" s="78"/>
    </row>
    <row r="454">
      <c r="A454" s="35"/>
      <c r="B454" s="5"/>
      <c r="C454" s="77"/>
      <c r="D454" s="74"/>
      <c r="E454" s="78"/>
    </row>
    <row r="455">
      <c r="A455" s="35"/>
      <c r="B455" s="5"/>
      <c r="C455" s="77"/>
      <c r="D455" s="74"/>
      <c r="E455" s="78"/>
    </row>
    <row r="456">
      <c r="A456" s="35"/>
      <c r="B456" s="5"/>
      <c r="C456" s="77"/>
      <c r="D456" s="74"/>
      <c r="E456" s="78"/>
    </row>
    <row r="457">
      <c r="A457" s="35"/>
      <c r="B457" s="5"/>
      <c r="C457" s="77"/>
      <c r="D457" s="74"/>
      <c r="E457" s="78"/>
    </row>
    <row r="458">
      <c r="A458" s="35"/>
      <c r="B458" s="5"/>
      <c r="C458" s="77"/>
      <c r="D458" s="74"/>
      <c r="E458" s="78"/>
    </row>
    <row r="459">
      <c r="A459" s="35"/>
      <c r="B459" s="5"/>
      <c r="C459" s="77"/>
      <c r="D459" s="74"/>
      <c r="E459" s="78"/>
    </row>
    <row r="460">
      <c r="A460" s="35"/>
      <c r="B460" s="5"/>
      <c r="C460" s="77"/>
      <c r="D460" s="74"/>
      <c r="E460" s="78"/>
    </row>
    <row r="461">
      <c r="A461" s="35"/>
      <c r="B461" s="5"/>
      <c r="C461" s="77"/>
      <c r="D461" s="74"/>
      <c r="E461" s="78"/>
    </row>
    <row r="462">
      <c r="A462" s="35"/>
      <c r="B462" s="5"/>
      <c r="C462" s="77"/>
      <c r="D462" s="74"/>
      <c r="E462" s="78"/>
    </row>
    <row r="463">
      <c r="A463" s="35"/>
      <c r="B463" s="5"/>
      <c r="C463" s="77"/>
      <c r="D463" s="74"/>
      <c r="E463" s="78"/>
    </row>
    <row r="464">
      <c r="A464" s="35"/>
      <c r="B464" s="5"/>
      <c r="C464" s="77"/>
      <c r="D464" s="74"/>
      <c r="E464" s="78"/>
    </row>
    <row r="465">
      <c r="A465" s="35"/>
      <c r="B465" s="5"/>
      <c r="C465" s="77"/>
      <c r="D465" s="74"/>
      <c r="E465" s="78"/>
    </row>
    <row r="466">
      <c r="A466" s="35"/>
      <c r="B466" s="5"/>
      <c r="C466" s="77"/>
      <c r="D466" s="74"/>
      <c r="E466" s="78"/>
    </row>
    <row r="467">
      <c r="A467" s="35"/>
      <c r="B467" s="5"/>
      <c r="C467" s="77"/>
      <c r="D467" s="74"/>
      <c r="E467" s="78"/>
    </row>
    <row r="468">
      <c r="A468" s="35"/>
      <c r="B468" s="5"/>
      <c r="C468" s="77"/>
      <c r="D468" s="74"/>
      <c r="E468" s="78"/>
    </row>
    <row r="469">
      <c r="A469" s="35"/>
      <c r="B469" s="5"/>
      <c r="C469" s="77"/>
      <c r="D469" s="74"/>
      <c r="E469" s="78"/>
    </row>
    <row r="470">
      <c r="A470" s="35"/>
      <c r="B470" s="5"/>
      <c r="C470" s="77"/>
      <c r="D470" s="74"/>
      <c r="E470" s="78"/>
    </row>
    <row r="471">
      <c r="A471" s="35"/>
      <c r="B471" s="5"/>
      <c r="C471" s="77"/>
      <c r="D471" s="74"/>
      <c r="E471" s="78"/>
    </row>
    <row r="472">
      <c r="A472" s="35"/>
      <c r="B472" s="5"/>
      <c r="C472" s="77"/>
      <c r="D472" s="74"/>
      <c r="E472" s="78"/>
    </row>
    <row r="473">
      <c r="A473" s="35"/>
      <c r="B473" s="5"/>
      <c r="C473" s="77"/>
      <c r="D473" s="74"/>
      <c r="E473" s="78"/>
    </row>
    <row r="474">
      <c r="A474" s="35"/>
      <c r="B474" s="5"/>
      <c r="C474" s="77"/>
      <c r="D474" s="74"/>
      <c r="E474" s="78"/>
    </row>
    <row r="475">
      <c r="A475" s="35"/>
      <c r="B475" s="5"/>
      <c r="C475" s="77"/>
      <c r="D475" s="74"/>
      <c r="E475" s="78"/>
    </row>
    <row r="476">
      <c r="A476" s="35"/>
      <c r="B476" s="5"/>
      <c r="C476" s="77"/>
      <c r="D476" s="74"/>
      <c r="E476" s="78"/>
    </row>
    <row r="477">
      <c r="A477" s="35"/>
      <c r="B477" s="5"/>
      <c r="C477" s="77"/>
      <c r="D477" s="74"/>
      <c r="E477" s="78"/>
    </row>
    <row r="478">
      <c r="A478" s="35"/>
      <c r="B478" s="5"/>
      <c r="C478" s="77"/>
      <c r="D478" s="74"/>
      <c r="E478" s="78"/>
    </row>
    <row r="479">
      <c r="A479" s="35"/>
      <c r="B479" s="5"/>
      <c r="C479" s="77"/>
      <c r="D479" s="74"/>
      <c r="E479" s="78"/>
    </row>
    <row r="480">
      <c r="A480" s="35"/>
      <c r="B480" s="5"/>
      <c r="C480" s="77"/>
      <c r="D480" s="74"/>
      <c r="E480" s="78"/>
    </row>
    <row r="481">
      <c r="A481" s="35"/>
      <c r="B481" s="5"/>
      <c r="C481" s="77"/>
      <c r="D481" s="74"/>
      <c r="E481" s="78"/>
    </row>
    <row r="482">
      <c r="A482" s="35"/>
      <c r="B482" s="5"/>
      <c r="C482" s="77"/>
      <c r="D482" s="74"/>
      <c r="E482" s="78"/>
    </row>
    <row r="483">
      <c r="A483" s="35"/>
      <c r="B483" s="5"/>
      <c r="C483" s="77"/>
      <c r="D483" s="74"/>
      <c r="E483" s="78"/>
    </row>
    <row r="484">
      <c r="A484" s="35"/>
      <c r="B484" s="5"/>
      <c r="C484" s="77"/>
      <c r="D484" s="74"/>
      <c r="E484" s="78"/>
    </row>
    <row r="485">
      <c r="A485" s="35"/>
      <c r="B485" s="5"/>
      <c r="C485" s="77"/>
      <c r="D485" s="74"/>
      <c r="E485" s="78"/>
    </row>
    <row r="486">
      <c r="A486" s="35"/>
      <c r="B486" s="5"/>
      <c r="C486" s="77"/>
      <c r="D486" s="74"/>
      <c r="E486" s="78"/>
    </row>
    <row r="487">
      <c r="A487" s="35"/>
      <c r="B487" s="5"/>
      <c r="C487" s="77"/>
      <c r="D487" s="74"/>
      <c r="E487" s="78"/>
    </row>
    <row r="488">
      <c r="A488" s="35"/>
      <c r="B488" s="5"/>
      <c r="C488" s="77"/>
      <c r="D488" s="74"/>
      <c r="E488" s="78"/>
    </row>
    <row r="489">
      <c r="A489" s="35"/>
      <c r="B489" s="5"/>
      <c r="C489" s="77"/>
      <c r="D489" s="74"/>
      <c r="E489" s="78"/>
    </row>
    <row r="490">
      <c r="A490" s="35"/>
      <c r="B490" s="5"/>
      <c r="C490" s="77"/>
      <c r="D490" s="74"/>
      <c r="E490" s="78"/>
    </row>
    <row r="491">
      <c r="A491" s="35"/>
      <c r="B491" s="5"/>
      <c r="C491" s="77"/>
      <c r="D491" s="74"/>
      <c r="E491" s="78"/>
    </row>
    <row r="492">
      <c r="A492" s="35"/>
      <c r="B492" s="5"/>
      <c r="C492" s="77"/>
      <c r="D492" s="74"/>
      <c r="E492" s="78"/>
    </row>
    <row r="493">
      <c r="A493" s="35"/>
      <c r="B493" s="5"/>
      <c r="C493" s="77"/>
      <c r="D493" s="74"/>
      <c r="E493" s="78"/>
    </row>
    <row r="494">
      <c r="A494" s="35"/>
      <c r="B494" s="5"/>
      <c r="C494" s="77"/>
      <c r="D494" s="74"/>
      <c r="E494" s="78"/>
    </row>
    <row r="495">
      <c r="A495" s="35"/>
      <c r="B495" s="5"/>
      <c r="C495" s="77"/>
      <c r="D495" s="74"/>
      <c r="E495" s="78"/>
    </row>
    <row r="496">
      <c r="A496" s="35"/>
      <c r="B496" s="5"/>
      <c r="C496" s="77"/>
      <c r="D496" s="74"/>
      <c r="E496" s="78"/>
    </row>
    <row r="497">
      <c r="A497" s="35"/>
      <c r="B497" s="5"/>
      <c r="C497" s="77"/>
      <c r="D497" s="74"/>
      <c r="E497" s="78"/>
    </row>
    <row r="498">
      <c r="A498" s="35"/>
      <c r="B498" s="5"/>
      <c r="C498" s="77"/>
      <c r="D498" s="74"/>
      <c r="E498" s="78"/>
    </row>
    <row r="499">
      <c r="A499" s="35"/>
      <c r="B499" s="5"/>
      <c r="C499" s="77"/>
      <c r="D499" s="74"/>
      <c r="E499" s="78"/>
    </row>
    <row r="500">
      <c r="A500" s="35"/>
      <c r="B500" s="5"/>
      <c r="C500" s="77"/>
      <c r="D500" s="74"/>
      <c r="E500" s="78"/>
    </row>
    <row r="501">
      <c r="A501" s="35"/>
      <c r="B501" s="5"/>
      <c r="C501" s="77"/>
      <c r="D501" s="74"/>
      <c r="E501" s="78"/>
    </row>
    <row r="502">
      <c r="A502" s="35"/>
      <c r="B502" s="5"/>
      <c r="C502" s="77"/>
      <c r="D502" s="74"/>
      <c r="E502" s="78"/>
    </row>
    <row r="503">
      <c r="A503" s="35"/>
      <c r="B503" s="5"/>
      <c r="C503" s="77"/>
      <c r="D503" s="74"/>
      <c r="E503" s="78"/>
    </row>
    <row r="504">
      <c r="A504" s="35"/>
      <c r="B504" s="5"/>
      <c r="C504" s="77"/>
      <c r="D504" s="74"/>
      <c r="E504" s="78"/>
    </row>
    <row r="505">
      <c r="A505" s="35"/>
      <c r="B505" s="5"/>
      <c r="C505" s="77"/>
      <c r="D505" s="74"/>
      <c r="E505" s="78"/>
    </row>
    <row r="506">
      <c r="A506" s="35"/>
      <c r="B506" s="5"/>
      <c r="C506" s="77"/>
      <c r="D506" s="74"/>
      <c r="E506" s="78"/>
    </row>
    <row r="507">
      <c r="A507" s="35"/>
      <c r="B507" s="5"/>
      <c r="C507" s="77"/>
      <c r="D507" s="74"/>
      <c r="E507" s="78"/>
    </row>
    <row r="508">
      <c r="A508" s="35"/>
      <c r="B508" s="5"/>
      <c r="C508" s="77"/>
      <c r="D508" s="74"/>
      <c r="E508" s="78"/>
    </row>
    <row r="509">
      <c r="A509" s="35"/>
      <c r="B509" s="5"/>
      <c r="C509" s="77"/>
      <c r="D509" s="74"/>
      <c r="E509" s="78"/>
    </row>
    <row r="510">
      <c r="A510" s="35"/>
      <c r="B510" s="5"/>
      <c r="C510" s="77"/>
      <c r="D510" s="74"/>
      <c r="E510" s="78"/>
    </row>
    <row r="511">
      <c r="A511" s="35"/>
      <c r="B511" s="5"/>
      <c r="C511" s="77"/>
      <c r="D511" s="74"/>
      <c r="E511" s="78"/>
    </row>
    <row r="512">
      <c r="A512" s="35"/>
      <c r="B512" s="5"/>
      <c r="C512" s="77"/>
      <c r="D512" s="74"/>
      <c r="E512" s="78"/>
    </row>
    <row r="513">
      <c r="A513" s="35"/>
      <c r="B513" s="5"/>
      <c r="C513" s="77"/>
      <c r="D513" s="74"/>
      <c r="E513" s="78"/>
    </row>
    <row r="514">
      <c r="A514" s="35"/>
      <c r="B514" s="5"/>
      <c r="C514" s="77"/>
      <c r="D514" s="74"/>
      <c r="E514" s="78"/>
    </row>
    <row r="515">
      <c r="A515" s="35"/>
      <c r="B515" s="5"/>
      <c r="C515" s="77"/>
      <c r="D515" s="74"/>
      <c r="E515" s="78"/>
    </row>
    <row r="516">
      <c r="A516" s="35"/>
      <c r="B516" s="5"/>
      <c r="C516" s="77"/>
      <c r="D516" s="74"/>
      <c r="E516" s="78"/>
    </row>
    <row r="517">
      <c r="A517" s="35"/>
      <c r="B517" s="5"/>
      <c r="C517" s="77"/>
      <c r="D517" s="74"/>
      <c r="E517" s="78"/>
    </row>
    <row r="518">
      <c r="A518" s="35"/>
      <c r="B518" s="5"/>
      <c r="C518" s="77"/>
      <c r="D518" s="74"/>
      <c r="E518" s="78"/>
    </row>
    <row r="519">
      <c r="A519" s="35"/>
      <c r="B519" s="5"/>
      <c r="C519" s="77"/>
      <c r="D519" s="74"/>
      <c r="E519" s="78"/>
    </row>
    <row r="520">
      <c r="A520" s="35"/>
      <c r="B520" s="5"/>
      <c r="C520" s="77"/>
      <c r="D520" s="74"/>
      <c r="E520" s="78"/>
    </row>
    <row r="521">
      <c r="A521" s="35"/>
      <c r="B521" s="5"/>
      <c r="C521" s="77"/>
      <c r="D521" s="74"/>
      <c r="E521" s="78"/>
    </row>
    <row r="522">
      <c r="A522" s="35"/>
      <c r="B522" s="5"/>
      <c r="C522" s="77"/>
      <c r="D522" s="74"/>
      <c r="E522" s="78"/>
    </row>
    <row r="523">
      <c r="A523" s="35"/>
      <c r="B523" s="5"/>
      <c r="C523" s="77"/>
      <c r="D523" s="74"/>
      <c r="E523" s="78"/>
    </row>
    <row r="524">
      <c r="A524" s="35"/>
      <c r="B524" s="5"/>
      <c r="C524" s="77"/>
      <c r="D524" s="74"/>
      <c r="E524" s="78"/>
    </row>
    <row r="525">
      <c r="A525" s="35"/>
      <c r="B525" s="5"/>
      <c r="C525" s="77"/>
      <c r="D525" s="74"/>
      <c r="E525" s="78"/>
    </row>
    <row r="526">
      <c r="A526" s="35"/>
      <c r="B526" s="5"/>
      <c r="C526" s="77"/>
      <c r="D526" s="74"/>
      <c r="E526" s="78"/>
    </row>
    <row r="527">
      <c r="A527" s="35"/>
      <c r="B527" s="5"/>
      <c r="C527" s="77"/>
      <c r="D527" s="74"/>
      <c r="E527" s="78"/>
    </row>
    <row r="528">
      <c r="A528" s="35"/>
      <c r="B528" s="5"/>
      <c r="C528" s="77"/>
      <c r="D528" s="74"/>
      <c r="E528" s="78"/>
    </row>
    <row r="529">
      <c r="A529" s="35"/>
      <c r="B529" s="5"/>
      <c r="C529" s="77"/>
      <c r="D529" s="74"/>
      <c r="E529" s="78"/>
    </row>
    <row r="530">
      <c r="A530" s="35"/>
      <c r="B530" s="5"/>
      <c r="C530" s="77"/>
      <c r="D530" s="74"/>
      <c r="E530" s="78"/>
    </row>
    <row r="531">
      <c r="A531" s="35"/>
      <c r="B531" s="5"/>
      <c r="C531" s="77"/>
      <c r="D531" s="74"/>
      <c r="E531" s="78"/>
    </row>
    <row r="532">
      <c r="A532" s="35"/>
      <c r="B532" s="5"/>
      <c r="C532" s="77"/>
      <c r="D532" s="74"/>
      <c r="E532" s="78"/>
    </row>
    <row r="533">
      <c r="A533" s="35"/>
      <c r="B533" s="5"/>
      <c r="C533" s="77"/>
      <c r="D533" s="74"/>
      <c r="E533" s="78"/>
    </row>
    <row r="534">
      <c r="A534" s="35"/>
      <c r="B534" s="5"/>
      <c r="C534" s="77"/>
      <c r="D534" s="74"/>
      <c r="E534" s="78"/>
    </row>
    <row r="535">
      <c r="A535" s="35"/>
      <c r="B535" s="5"/>
      <c r="C535" s="77"/>
      <c r="D535" s="74"/>
      <c r="E535" s="78"/>
    </row>
    <row r="536">
      <c r="A536" s="35"/>
      <c r="B536" s="5"/>
      <c r="C536" s="77"/>
      <c r="D536" s="74"/>
      <c r="E536" s="78"/>
    </row>
    <row r="537">
      <c r="A537" s="35"/>
      <c r="B537" s="5"/>
      <c r="C537" s="77"/>
      <c r="D537" s="74"/>
      <c r="E537" s="78"/>
    </row>
    <row r="538">
      <c r="A538" s="35"/>
      <c r="B538" s="5"/>
      <c r="C538" s="77"/>
      <c r="D538" s="74"/>
      <c r="E538" s="78"/>
    </row>
    <row r="539">
      <c r="A539" s="35"/>
      <c r="B539" s="5"/>
      <c r="C539" s="77"/>
      <c r="D539" s="74"/>
      <c r="E539" s="78"/>
    </row>
    <row r="540">
      <c r="A540" s="35"/>
      <c r="B540" s="5"/>
      <c r="C540" s="77"/>
      <c r="D540" s="74"/>
      <c r="E540" s="78"/>
    </row>
    <row r="541">
      <c r="A541" s="35"/>
      <c r="B541" s="5"/>
      <c r="C541" s="77"/>
      <c r="D541" s="74"/>
      <c r="E541" s="78"/>
    </row>
    <row r="542">
      <c r="A542" s="35"/>
      <c r="B542" s="5"/>
      <c r="C542" s="77"/>
      <c r="D542" s="74"/>
      <c r="E542" s="78"/>
    </row>
    <row r="543">
      <c r="A543" s="35"/>
      <c r="B543" s="5"/>
      <c r="C543" s="77"/>
      <c r="D543" s="74"/>
      <c r="E543" s="78"/>
    </row>
    <row r="544">
      <c r="A544" s="35"/>
      <c r="B544" s="5"/>
      <c r="C544" s="77"/>
      <c r="D544" s="74"/>
      <c r="E544" s="78"/>
    </row>
    <row r="545">
      <c r="A545" s="35"/>
      <c r="B545" s="5"/>
      <c r="C545" s="77"/>
      <c r="D545" s="74"/>
      <c r="E545" s="78"/>
    </row>
    <row r="546">
      <c r="A546" s="35"/>
      <c r="B546" s="5"/>
      <c r="C546" s="77"/>
      <c r="D546" s="74"/>
      <c r="E546" s="78"/>
    </row>
    <row r="547">
      <c r="A547" s="35"/>
      <c r="B547" s="5"/>
      <c r="C547" s="77"/>
      <c r="D547" s="74"/>
      <c r="E547" s="78"/>
    </row>
    <row r="548">
      <c r="A548" s="35"/>
      <c r="B548" s="5"/>
      <c r="C548" s="77"/>
      <c r="D548" s="74"/>
      <c r="E548" s="78"/>
    </row>
    <row r="549">
      <c r="A549" s="35"/>
      <c r="B549" s="5"/>
      <c r="C549" s="77"/>
      <c r="D549" s="74"/>
      <c r="E549" s="78"/>
    </row>
    <row r="550">
      <c r="A550" s="35"/>
      <c r="B550" s="5"/>
      <c r="C550" s="77"/>
      <c r="D550" s="74"/>
      <c r="E550" s="78"/>
    </row>
    <row r="551">
      <c r="A551" s="35"/>
      <c r="B551" s="5"/>
      <c r="C551" s="77"/>
      <c r="D551" s="74"/>
      <c r="E551" s="78"/>
    </row>
    <row r="552">
      <c r="A552" s="35"/>
      <c r="B552" s="5"/>
      <c r="C552" s="77"/>
      <c r="D552" s="74"/>
      <c r="E552" s="78"/>
    </row>
    <row r="553">
      <c r="A553" s="35"/>
      <c r="B553" s="5"/>
      <c r="C553" s="77"/>
      <c r="D553" s="74"/>
      <c r="E553" s="78"/>
    </row>
    <row r="554">
      <c r="A554" s="35"/>
      <c r="B554" s="5"/>
      <c r="C554" s="77"/>
      <c r="D554" s="74"/>
      <c r="E554" s="78"/>
    </row>
    <row r="555">
      <c r="A555" s="35"/>
      <c r="B555" s="5"/>
      <c r="C555" s="77"/>
      <c r="D555" s="74"/>
      <c r="E555" s="78"/>
    </row>
    <row r="556">
      <c r="A556" s="35"/>
      <c r="B556" s="5"/>
      <c r="C556" s="77"/>
      <c r="D556" s="74"/>
      <c r="E556" s="78"/>
    </row>
    <row r="557">
      <c r="A557" s="35"/>
      <c r="B557" s="5"/>
      <c r="C557" s="77"/>
      <c r="D557" s="74"/>
      <c r="E557" s="78"/>
    </row>
    <row r="558">
      <c r="A558" s="35"/>
      <c r="B558" s="5"/>
      <c r="C558" s="77"/>
      <c r="D558" s="74"/>
      <c r="E558" s="78"/>
    </row>
    <row r="559">
      <c r="A559" s="35"/>
      <c r="B559" s="5"/>
      <c r="C559" s="77"/>
      <c r="D559" s="74"/>
      <c r="E559" s="78"/>
    </row>
    <row r="560">
      <c r="A560" s="35"/>
      <c r="B560" s="5"/>
      <c r="C560" s="77"/>
      <c r="D560" s="74"/>
      <c r="E560" s="78"/>
    </row>
    <row r="561">
      <c r="A561" s="35"/>
      <c r="B561" s="5"/>
      <c r="C561" s="77"/>
      <c r="D561" s="74"/>
      <c r="E561" s="78"/>
    </row>
    <row r="562">
      <c r="A562" s="35"/>
      <c r="B562" s="5"/>
      <c r="C562" s="77"/>
      <c r="D562" s="74"/>
      <c r="E562" s="78"/>
    </row>
    <row r="563">
      <c r="A563" s="35"/>
      <c r="B563" s="5"/>
      <c r="C563" s="77"/>
      <c r="D563" s="74"/>
      <c r="E563" s="78"/>
    </row>
    <row r="564">
      <c r="A564" s="35"/>
      <c r="B564" s="5"/>
      <c r="C564" s="77"/>
      <c r="D564" s="74"/>
      <c r="E564" s="78"/>
    </row>
    <row r="565">
      <c r="A565" s="35"/>
      <c r="B565" s="5"/>
      <c r="C565" s="77"/>
      <c r="D565" s="74"/>
      <c r="E565" s="78"/>
    </row>
    <row r="566">
      <c r="A566" s="35"/>
      <c r="B566" s="5"/>
      <c r="C566" s="77"/>
      <c r="D566" s="74"/>
      <c r="E566" s="78"/>
    </row>
    <row r="567">
      <c r="A567" s="35"/>
      <c r="B567" s="5"/>
      <c r="C567" s="77"/>
      <c r="D567" s="74"/>
      <c r="E567" s="78"/>
    </row>
    <row r="568">
      <c r="A568" s="35"/>
      <c r="B568" s="5"/>
      <c r="C568" s="77"/>
      <c r="D568" s="74"/>
      <c r="E568" s="78"/>
    </row>
    <row r="569">
      <c r="A569" s="35"/>
      <c r="B569" s="5"/>
      <c r="C569" s="77"/>
      <c r="D569" s="74"/>
      <c r="E569" s="78"/>
    </row>
    <row r="570">
      <c r="A570" s="35"/>
      <c r="B570" s="5"/>
      <c r="C570" s="77"/>
      <c r="D570" s="74"/>
      <c r="E570" s="78"/>
    </row>
    <row r="571">
      <c r="A571" s="35"/>
      <c r="B571" s="5"/>
      <c r="C571" s="77"/>
      <c r="D571" s="74"/>
      <c r="E571" s="78"/>
    </row>
    <row r="572">
      <c r="A572" s="35"/>
      <c r="B572" s="5"/>
      <c r="C572" s="77"/>
      <c r="D572" s="74"/>
      <c r="E572" s="78"/>
    </row>
    <row r="573">
      <c r="A573" s="35"/>
      <c r="B573" s="5"/>
      <c r="C573" s="77"/>
      <c r="D573" s="74"/>
      <c r="E573" s="78"/>
    </row>
    <row r="574">
      <c r="A574" s="35"/>
      <c r="B574" s="5"/>
      <c r="C574" s="77"/>
      <c r="D574" s="74"/>
      <c r="E574" s="78"/>
    </row>
    <row r="575">
      <c r="A575" s="35"/>
      <c r="B575" s="5"/>
      <c r="C575" s="77"/>
      <c r="D575" s="74"/>
      <c r="E575" s="78"/>
    </row>
    <row r="576">
      <c r="A576" s="35"/>
      <c r="B576" s="5"/>
      <c r="C576" s="77"/>
      <c r="D576" s="74"/>
      <c r="E576" s="78"/>
    </row>
    <row r="577">
      <c r="A577" s="35"/>
      <c r="B577" s="5"/>
      <c r="C577" s="77"/>
      <c r="D577" s="74"/>
      <c r="E577" s="78"/>
    </row>
    <row r="578">
      <c r="A578" s="35"/>
      <c r="B578" s="5"/>
      <c r="C578" s="77"/>
      <c r="D578" s="74"/>
      <c r="E578" s="78"/>
    </row>
    <row r="579">
      <c r="A579" s="35"/>
      <c r="B579" s="5"/>
      <c r="C579" s="77"/>
      <c r="D579" s="74"/>
      <c r="E579" s="78"/>
    </row>
    <row r="580">
      <c r="A580" s="35"/>
      <c r="B580" s="5"/>
      <c r="C580" s="77"/>
      <c r="D580" s="74"/>
      <c r="E580" s="78"/>
    </row>
    <row r="581">
      <c r="A581" s="35"/>
      <c r="B581" s="5"/>
      <c r="C581" s="77"/>
      <c r="D581" s="74"/>
      <c r="E581" s="78"/>
    </row>
    <row r="582">
      <c r="A582" s="35"/>
      <c r="B582" s="5"/>
      <c r="C582" s="77"/>
      <c r="D582" s="74"/>
      <c r="E582" s="78"/>
    </row>
    <row r="583">
      <c r="A583" s="35"/>
      <c r="B583" s="5"/>
      <c r="C583" s="77"/>
      <c r="D583" s="74"/>
      <c r="E583" s="78"/>
    </row>
    <row r="584">
      <c r="A584" s="35"/>
      <c r="B584" s="5"/>
      <c r="C584" s="77"/>
      <c r="D584" s="74"/>
      <c r="E584" s="78"/>
    </row>
    <row r="585">
      <c r="A585" s="35"/>
      <c r="B585" s="5"/>
      <c r="C585" s="77"/>
      <c r="D585" s="74"/>
      <c r="E585" s="78"/>
    </row>
    <row r="586">
      <c r="A586" s="35"/>
      <c r="B586" s="5"/>
      <c r="C586" s="77"/>
      <c r="D586" s="74"/>
      <c r="E586" s="78"/>
    </row>
    <row r="587">
      <c r="A587" s="35"/>
      <c r="B587" s="5"/>
      <c r="C587" s="77"/>
      <c r="D587" s="74"/>
      <c r="E587" s="78"/>
    </row>
    <row r="588">
      <c r="A588" s="35"/>
      <c r="B588" s="5"/>
      <c r="C588" s="77"/>
      <c r="D588" s="74"/>
      <c r="E588" s="78"/>
    </row>
    <row r="589">
      <c r="A589" s="35"/>
      <c r="B589" s="5"/>
      <c r="C589" s="77"/>
      <c r="D589" s="74"/>
      <c r="E589" s="78"/>
    </row>
    <row r="590">
      <c r="A590" s="35"/>
      <c r="B590" s="5"/>
      <c r="C590" s="77"/>
      <c r="D590" s="74"/>
      <c r="E590" s="78"/>
    </row>
    <row r="591">
      <c r="A591" s="35"/>
      <c r="B591" s="5"/>
      <c r="C591" s="77"/>
      <c r="D591" s="74"/>
      <c r="E591" s="78"/>
    </row>
    <row r="592">
      <c r="A592" s="35"/>
      <c r="B592" s="5"/>
      <c r="C592" s="77"/>
      <c r="D592" s="74"/>
      <c r="E592" s="78"/>
    </row>
    <row r="593">
      <c r="A593" s="35"/>
      <c r="B593" s="5"/>
      <c r="C593" s="77"/>
      <c r="D593" s="74"/>
      <c r="E593" s="78"/>
    </row>
    <row r="594">
      <c r="A594" s="35"/>
      <c r="B594" s="5"/>
      <c r="C594" s="77"/>
      <c r="D594" s="74"/>
      <c r="E594" s="78"/>
    </row>
    <row r="595">
      <c r="A595" s="35"/>
      <c r="B595" s="5"/>
      <c r="C595" s="77"/>
      <c r="D595" s="74"/>
      <c r="E595" s="78"/>
    </row>
    <row r="596">
      <c r="A596" s="35"/>
      <c r="B596" s="5"/>
      <c r="C596" s="77"/>
      <c r="D596" s="74"/>
      <c r="E596" s="78"/>
    </row>
    <row r="597">
      <c r="A597" s="35"/>
      <c r="B597" s="5"/>
      <c r="C597" s="77"/>
      <c r="D597" s="74"/>
      <c r="E597" s="78"/>
    </row>
    <row r="598">
      <c r="A598" s="35"/>
      <c r="B598" s="5"/>
      <c r="C598" s="77"/>
      <c r="D598" s="74"/>
      <c r="E598" s="78"/>
    </row>
    <row r="599">
      <c r="A599" s="35"/>
      <c r="B599" s="5"/>
      <c r="C599" s="77"/>
      <c r="D599" s="74"/>
      <c r="E599" s="78"/>
    </row>
    <row r="600">
      <c r="A600" s="35"/>
      <c r="B600" s="5"/>
      <c r="C600" s="77"/>
      <c r="D600" s="74"/>
      <c r="E600" s="78"/>
    </row>
    <row r="601">
      <c r="A601" s="35"/>
      <c r="B601" s="5"/>
      <c r="C601" s="77"/>
      <c r="D601" s="74"/>
      <c r="E601" s="78"/>
    </row>
    <row r="602">
      <c r="A602" s="35"/>
      <c r="B602" s="5"/>
      <c r="C602" s="77"/>
      <c r="D602" s="74"/>
      <c r="E602" s="78"/>
    </row>
    <row r="603">
      <c r="A603" s="35"/>
      <c r="B603" s="5"/>
      <c r="C603" s="77"/>
      <c r="D603" s="74"/>
      <c r="E603" s="78"/>
    </row>
    <row r="604">
      <c r="A604" s="35"/>
      <c r="B604" s="5"/>
      <c r="C604" s="77"/>
      <c r="D604" s="74"/>
      <c r="E604" s="78"/>
    </row>
    <row r="605">
      <c r="A605" s="35"/>
      <c r="B605" s="5"/>
      <c r="C605" s="77"/>
      <c r="D605" s="74"/>
      <c r="E605" s="78"/>
    </row>
    <row r="606">
      <c r="A606" s="35"/>
      <c r="B606" s="5"/>
      <c r="C606" s="77"/>
      <c r="D606" s="74"/>
      <c r="E606" s="78"/>
    </row>
    <row r="607">
      <c r="A607" s="35"/>
      <c r="B607" s="5"/>
      <c r="C607" s="77"/>
      <c r="D607" s="74"/>
      <c r="E607" s="78"/>
    </row>
    <row r="608">
      <c r="A608" s="35"/>
      <c r="B608" s="5"/>
      <c r="C608" s="77"/>
      <c r="D608" s="74"/>
      <c r="E608" s="78"/>
    </row>
    <row r="609">
      <c r="A609" s="35"/>
      <c r="B609" s="5"/>
      <c r="C609" s="77"/>
      <c r="D609" s="74"/>
      <c r="E609" s="78"/>
    </row>
    <row r="610">
      <c r="A610" s="35"/>
      <c r="B610" s="5"/>
      <c r="C610" s="77"/>
      <c r="D610" s="74"/>
      <c r="E610" s="78"/>
    </row>
    <row r="611">
      <c r="A611" s="35"/>
      <c r="B611" s="5"/>
      <c r="C611" s="77"/>
      <c r="D611" s="74"/>
      <c r="E611" s="78"/>
    </row>
    <row r="612">
      <c r="A612" s="35"/>
      <c r="B612" s="5"/>
      <c r="C612" s="77"/>
      <c r="D612" s="74"/>
      <c r="E612" s="78"/>
    </row>
    <row r="613">
      <c r="A613" s="35"/>
      <c r="B613" s="5"/>
      <c r="C613" s="77"/>
      <c r="D613" s="74"/>
      <c r="E613" s="78"/>
    </row>
    <row r="614">
      <c r="A614" s="35"/>
      <c r="B614" s="5"/>
      <c r="C614" s="77"/>
      <c r="D614" s="74"/>
      <c r="E614" s="78"/>
    </row>
    <row r="615">
      <c r="A615" s="35"/>
      <c r="B615" s="5"/>
      <c r="C615" s="77"/>
      <c r="D615" s="74"/>
      <c r="E615" s="78"/>
    </row>
    <row r="616">
      <c r="A616" s="35"/>
      <c r="B616" s="5"/>
      <c r="C616" s="77"/>
      <c r="D616" s="74"/>
      <c r="E616" s="78"/>
    </row>
    <row r="617">
      <c r="A617" s="35"/>
      <c r="B617" s="5"/>
      <c r="C617" s="77"/>
      <c r="D617" s="74"/>
      <c r="E617" s="78"/>
    </row>
    <row r="618">
      <c r="A618" s="35"/>
      <c r="B618" s="5"/>
      <c r="C618" s="77"/>
      <c r="D618" s="74"/>
      <c r="E618" s="78"/>
    </row>
    <row r="619">
      <c r="A619" s="35"/>
      <c r="B619" s="5"/>
      <c r="C619" s="77"/>
      <c r="D619" s="74"/>
      <c r="E619" s="78"/>
    </row>
    <row r="620">
      <c r="A620" s="35"/>
      <c r="B620" s="5"/>
      <c r="C620" s="77"/>
      <c r="D620" s="74"/>
      <c r="E620" s="78"/>
    </row>
    <row r="621">
      <c r="A621" s="35"/>
      <c r="B621" s="5"/>
      <c r="C621" s="77"/>
      <c r="D621" s="74"/>
      <c r="E621" s="78"/>
    </row>
    <row r="622">
      <c r="A622" s="35"/>
      <c r="B622" s="5"/>
      <c r="C622" s="77"/>
      <c r="D622" s="74"/>
      <c r="E622" s="78"/>
    </row>
    <row r="623">
      <c r="A623" s="35"/>
      <c r="B623" s="5"/>
      <c r="C623" s="77"/>
      <c r="D623" s="74"/>
      <c r="E623" s="78"/>
    </row>
    <row r="624">
      <c r="A624" s="35"/>
      <c r="B624" s="5"/>
      <c r="C624" s="77"/>
      <c r="D624" s="74"/>
      <c r="E624" s="78"/>
    </row>
    <row r="625">
      <c r="A625" s="35"/>
      <c r="B625" s="5"/>
      <c r="C625" s="77"/>
      <c r="D625" s="74"/>
      <c r="E625" s="78"/>
    </row>
    <row r="626">
      <c r="A626" s="35"/>
      <c r="B626" s="5"/>
      <c r="C626" s="77"/>
      <c r="D626" s="74"/>
      <c r="E626" s="78"/>
    </row>
    <row r="627">
      <c r="A627" s="35"/>
      <c r="B627" s="5"/>
      <c r="C627" s="77"/>
      <c r="D627" s="74"/>
      <c r="E627" s="78"/>
    </row>
    <row r="628">
      <c r="A628" s="35"/>
      <c r="B628" s="5"/>
      <c r="C628" s="77"/>
      <c r="D628" s="74"/>
      <c r="E628" s="78"/>
    </row>
    <row r="629">
      <c r="A629" s="35"/>
      <c r="B629" s="5"/>
      <c r="C629" s="77"/>
      <c r="D629" s="74"/>
      <c r="E629" s="78"/>
    </row>
    <row r="630">
      <c r="A630" s="35"/>
      <c r="B630" s="5"/>
      <c r="C630" s="77"/>
      <c r="D630" s="74"/>
      <c r="E630" s="78"/>
    </row>
    <row r="631">
      <c r="A631" s="35"/>
      <c r="B631" s="5"/>
      <c r="C631" s="77"/>
      <c r="D631" s="74"/>
      <c r="E631" s="78"/>
    </row>
    <row r="632">
      <c r="A632" s="35"/>
      <c r="B632" s="5"/>
      <c r="C632" s="77"/>
      <c r="D632" s="74"/>
      <c r="E632" s="78"/>
    </row>
    <row r="633">
      <c r="A633" s="35"/>
      <c r="B633" s="5"/>
      <c r="C633" s="77"/>
      <c r="D633" s="74"/>
      <c r="E633" s="78"/>
    </row>
    <row r="634">
      <c r="A634" s="35"/>
      <c r="B634" s="5"/>
      <c r="C634" s="77"/>
      <c r="D634" s="74"/>
      <c r="E634" s="78"/>
    </row>
    <row r="635">
      <c r="A635" s="35"/>
      <c r="B635" s="5"/>
      <c r="C635" s="77"/>
      <c r="D635" s="74"/>
      <c r="E635" s="78"/>
    </row>
    <row r="636">
      <c r="A636" s="35"/>
      <c r="B636" s="5"/>
      <c r="C636" s="77"/>
      <c r="D636" s="74"/>
      <c r="E636" s="78"/>
    </row>
    <row r="637">
      <c r="A637" s="35"/>
      <c r="B637" s="5"/>
      <c r="C637" s="77"/>
      <c r="D637" s="74"/>
      <c r="E637" s="78"/>
    </row>
    <row r="638">
      <c r="A638" s="35"/>
      <c r="B638" s="5"/>
      <c r="C638" s="77"/>
      <c r="D638" s="74"/>
      <c r="E638" s="78"/>
    </row>
    <row r="639">
      <c r="A639" s="35"/>
      <c r="B639" s="5"/>
      <c r="C639" s="77"/>
      <c r="D639" s="74"/>
      <c r="E639" s="78"/>
    </row>
    <row r="640">
      <c r="A640" s="35"/>
      <c r="B640" s="5"/>
      <c r="C640" s="77"/>
      <c r="D640" s="74"/>
      <c r="E640" s="78"/>
    </row>
    <row r="641">
      <c r="A641" s="35"/>
      <c r="B641" s="5"/>
      <c r="C641" s="77"/>
      <c r="D641" s="74"/>
      <c r="E641" s="78"/>
    </row>
    <row r="642">
      <c r="A642" s="35"/>
      <c r="B642" s="5"/>
      <c r="C642" s="77"/>
      <c r="D642" s="74"/>
      <c r="E642" s="78"/>
    </row>
    <row r="643">
      <c r="A643" s="35"/>
      <c r="B643" s="5"/>
      <c r="C643" s="77"/>
      <c r="D643" s="74"/>
      <c r="E643" s="78"/>
    </row>
    <row r="644">
      <c r="A644" s="35"/>
      <c r="B644" s="5"/>
      <c r="C644" s="77"/>
      <c r="D644" s="74"/>
      <c r="E644" s="78"/>
    </row>
    <row r="645">
      <c r="A645" s="35"/>
      <c r="B645" s="5"/>
      <c r="C645" s="77"/>
      <c r="D645" s="74"/>
      <c r="E645" s="78"/>
    </row>
    <row r="646">
      <c r="A646" s="35"/>
      <c r="B646" s="5"/>
      <c r="C646" s="77"/>
      <c r="D646" s="74"/>
      <c r="E646" s="78"/>
    </row>
    <row r="647">
      <c r="A647" s="35"/>
      <c r="B647" s="5"/>
      <c r="C647" s="77"/>
      <c r="D647" s="74"/>
      <c r="E647" s="78"/>
    </row>
    <row r="648">
      <c r="A648" s="35"/>
      <c r="B648" s="5"/>
      <c r="C648" s="77"/>
      <c r="D648" s="74"/>
      <c r="E648" s="78"/>
    </row>
    <row r="649">
      <c r="A649" s="35"/>
      <c r="B649" s="5"/>
      <c r="C649" s="77"/>
      <c r="D649" s="74"/>
      <c r="E649" s="78"/>
    </row>
    <row r="650">
      <c r="A650" s="35"/>
      <c r="B650" s="5"/>
      <c r="C650" s="77"/>
      <c r="D650" s="74"/>
      <c r="E650" s="78"/>
    </row>
    <row r="651">
      <c r="A651" s="35"/>
      <c r="B651" s="5"/>
      <c r="C651" s="77"/>
      <c r="D651" s="74"/>
      <c r="E651" s="78"/>
    </row>
    <row r="652">
      <c r="A652" s="35"/>
      <c r="B652" s="5"/>
      <c r="C652" s="77"/>
      <c r="D652" s="74"/>
      <c r="E652" s="78"/>
    </row>
    <row r="653">
      <c r="A653" s="35"/>
      <c r="B653" s="5"/>
      <c r="C653" s="77"/>
      <c r="D653" s="74"/>
      <c r="E653" s="78"/>
    </row>
    <row r="654">
      <c r="A654" s="35"/>
      <c r="B654" s="5"/>
      <c r="C654" s="77"/>
      <c r="D654" s="74"/>
      <c r="E654" s="78"/>
    </row>
    <row r="655">
      <c r="A655" s="35"/>
      <c r="B655" s="5"/>
      <c r="C655" s="77"/>
      <c r="D655" s="74"/>
      <c r="E655" s="78"/>
    </row>
    <row r="656">
      <c r="A656" s="35"/>
      <c r="B656" s="5"/>
      <c r="C656" s="77"/>
      <c r="D656" s="74"/>
      <c r="E656" s="78"/>
    </row>
    <row r="657">
      <c r="A657" s="35"/>
      <c r="B657" s="5"/>
      <c r="C657" s="77"/>
      <c r="D657" s="74"/>
      <c r="E657" s="78"/>
    </row>
    <row r="658">
      <c r="A658" s="35"/>
      <c r="B658" s="5"/>
      <c r="C658" s="77"/>
      <c r="D658" s="74"/>
      <c r="E658" s="78"/>
    </row>
    <row r="659">
      <c r="A659" s="35"/>
      <c r="B659" s="5"/>
      <c r="C659" s="77"/>
      <c r="D659" s="74"/>
      <c r="E659" s="78"/>
    </row>
    <row r="660">
      <c r="A660" s="35"/>
      <c r="B660" s="5"/>
      <c r="C660" s="77"/>
      <c r="D660" s="74"/>
      <c r="E660" s="78"/>
    </row>
    <row r="661">
      <c r="A661" s="35"/>
      <c r="B661" s="5"/>
      <c r="C661" s="77"/>
      <c r="D661" s="74"/>
      <c r="E661" s="78"/>
    </row>
    <row r="662">
      <c r="A662" s="35"/>
      <c r="B662" s="5"/>
      <c r="C662" s="77"/>
      <c r="D662" s="74"/>
      <c r="E662" s="78"/>
    </row>
    <row r="663">
      <c r="A663" s="35"/>
      <c r="B663" s="5"/>
      <c r="C663" s="77"/>
      <c r="D663" s="74"/>
      <c r="E663" s="78"/>
    </row>
    <row r="664">
      <c r="A664" s="35"/>
      <c r="B664" s="5"/>
      <c r="C664" s="77"/>
      <c r="D664" s="74"/>
      <c r="E664" s="78"/>
    </row>
    <row r="665">
      <c r="A665" s="35"/>
      <c r="B665" s="5"/>
      <c r="C665" s="77"/>
      <c r="D665" s="74"/>
      <c r="E665" s="78"/>
    </row>
    <row r="666">
      <c r="A666" s="35"/>
      <c r="B666" s="5"/>
      <c r="C666" s="77"/>
      <c r="D666" s="74"/>
      <c r="E666" s="78"/>
    </row>
    <row r="667">
      <c r="A667" s="35"/>
      <c r="B667" s="5"/>
      <c r="C667" s="77"/>
      <c r="D667" s="74"/>
      <c r="E667" s="78"/>
    </row>
    <row r="668">
      <c r="A668" s="35"/>
      <c r="B668" s="5"/>
      <c r="C668" s="77"/>
      <c r="D668" s="74"/>
      <c r="E668" s="78"/>
    </row>
    <row r="669">
      <c r="A669" s="35"/>
      <c r="B669" s="5"/>
      <c r="C669" s="77"/>
      <c r="D669" s="74"/>
      <c r="E669" s="78"/>
    </row>
    <row r="670">
      <c r="A670" s="35"/>
      <c r="B670" s="5"/>
      <c r="C670" s="77"/>
      <c r="D670" s="74"/>
      <c r="E670" s="78"/>
    </row>
    <row r="671">
      <c r="A671" s="35"/>
      <c r="B671" s="5"/>
      <c r="C671" s="77"/>
      <c r="D671" s="74"/>
      <c r="E671" s="78"/>
    </row>
    <row r="672">
      <c r="A672" s="35"/>
      <c r="B672" s="5"/>
      <c r="C672" s="77"/>
      <c r="D672" s="74"/>
      <c r="E672" s="78"/>
    </row>
    <row r="673">
      <c r="A673" s="35"/>
      <c r="B673" s="5"/>
      <c r="C673" s="77"/>
      <c r="D673" s="74"/>
      <c r="E673" s="78"/>
    </row>
    <row r="674">
      <c r="A674" s="35"/>
      <c r="B674" s="5"/>
      <c r="C674" s="77"/>
      <c r="D674" s="74"/>
      <c r="E674" s="78"/>
    </row>
    <row r="675">
      <c r="A675" s="35"/>
      <c r="B675" s="5"/>
      <c r="C675" s="77"/>
      <c r="D675" s="74"/>
      <c r="E675" s="78"/>
    </row>
    <row r="676">
      <c r="A676" s="35"/>
      <c r="B676" s="5"/>
      <c r="C676" s="77"/>
      <c r="D676" s="74"/>
      <c r="E676" s="78"/>
    </row>
    <row r="677">
      <c r="A677" s="35"/>
      <c r="B677" s="5"/>
      <c r="C677" s="77"/>
      <c r="D677" s="74"/>
      <c r="E677" s="78"/>
    </row>
    <row r="678">
      <c r="A678" s="35"/>
      <c r="B678" s="5"/>
      <c r="C678" s="77"/>
      <c r="D678" s="74"/>
      <c r="E678" s="78"/>
    </row>
    <row r="679">
      <c r="A679" s="35"/>
      <c r="B679" s="5"/>
      <c r="C679" s="77"/>
      <c r="D679" s="74"/>
      <c r="E679" s="78"/>
    </row>
    <row r="680">
      <c r="A680" s="35"/>
      <c r="B680" s="5"/>
      <c r="C680" s="77"/>
      <c r="D680" s="74"/>
      <c r="E680" s="78"/>
    </row>
    <row r="681">
      <c r="A681" s="35"/>
      <c r="B681" s="5"/>
      <c r="C681" s="77"/>
      <c r="D681" s="74"/>
      <c r="E681" s="78"/>
    </row>
    <row r="682">
      <c r="A682" s="35"/>
      <c r="B682" s="5"/>
      <c r="C682" s="77"/>
      <c r="D682" s="74"/>
      <c r="E682" s="78"/>
    </row>
    <row r="683">
      <c r="A683" s="35"/>
      <c r="B683" s="5"/>
      <c r="C683" s="77"/>
      <c r="D683" s="74"/>
      <c r="E683" s="78"/>
    </row>
    <row r="684">
      <c r="A684" s="35"/>
      <c r="B684" s="5"/>
      <c r="C684" s="77"/>
      <c r="D684" s="74"/>
      <c r="E684" s="78"/>
    </row>
    <row r="685">
      <c r="A685" s="35"/>
      <c r="B685" s="5"/>
      <c r="C685" s="77"/>
      <c r="D685" s="74"/>
      <c r="E685" s="78"/>
    </row>
    <row r="686">
      <c r="A686" s="35"/>
      <c r="B686" s="5"/>
      <c r="C686" s="77"/>
      <c r="D686" s="74"/>
      <c r="E686" s="78"/>
    </row>
    <row r="687">
      <c r="A687" s="35"/>
      <c r="B687" s="5"/>
      <c r="C687" s="77"/>
      <c r="D687" s="74"/>
      <c r="E687" s="78"/>
    </row>
    <row r="688">
      <c r="A688" s="35"/>
      <c r="B688" s="5"/>
      <c r="C688" s="77"/>
      <c r="D688" s="74"/>
      <c r="E688" s="78"/>
    </row>
    <row r="689">
      <c r="A689" s="35"/>
      <c r="B689" s="5"/>
      <c r="C689" s="77"/>
      <c r="D689" s="74"/>
      <c r="E689" s="78"/>
    </row>
    <row r="690">
      <c r="A690" s="35"/>
      <c r="B690" s="5"/>
      <c r="C690" s="77"/>
      <c r="D690" s="74"/>
      <c r="E690" s="78"/>
    </row>
    <row r="691">
      <c r="A691" s="35"/>
      <c r="B691" s="5"/>
      <c r="C691" s="77"/>
      <c r="D691" s="74"/>
      <c r="E691" s="78"/>
    </row>
    <row r="692">
      <c r="A692" s="35"/>
      <c r="B692" s="5"/>
      <c r="C692" s="77"/>
      <c r="D692" s="74"/>
      <c r="E692" s="78"/>
    </row>
    <row r="693">
      <c r="A693" s="35"/>
      <c r="B693" s="5"/>
      <c r="C693" s="77"/>
      <c r="D693" s="74"/>
      <c r="E693" s="78"/>
    </row>
    <row r="694">
      <c r="A694" s="35"/>
      <c r="B694" s="5"/>
      <c r="C694" s="77"/>
      <c r="D694" s="74"/>
      <c r="E694" s="78"/>
    </row>
    <row r="695">
      <c r="A695" s="35"/>
      <c r="B695" s="5"/>
      <c r="C695" s="77"/>
      <c r="D695" s="74"/>
      <c r="E695" s="78"/>
    </row>
    <row r="696">
      <c r="A696" s="35"/>
      <c r="B696" s="5"/>
      <c r="C696" s="77"/>
      <c r="D696" s="74"/>
      <c r="E696" s="78"/>
    </row>
    <row r="697">
      <c r="A697" s="35"/>
      <c r="B697" s="5"/>
      <c r="C697" s="77"/>
      <c r="D697" s="74"/>
      <c r="E697" s="78"/>
    </row>
    <row r="698">
      <c r="A698" s="35"/>
      <c r="B698" s="5"/>
      <c r="C698" s="77"/>
      <c r="D698" s="74"/>
      <c r="E698" s="78"/>
    </row>
    <row r="699">
      <c r="A699" s="35"/>
      <c r="B699" s="5"/>
      <c r="C699" s="77"/>
      <c r="D699" s="74"/>
      <c r="E699" s="78"/>
    </row>
    <row r="700">
      <c r="A700" s="35"/>
      <c r="B700" s="5"/>
      <c r="C700" s="77"/>
      <c r="D700" s="74"/>
      <c r="E700" s="78"/>
    </row>
    <row r="701">
      <c r="A701" s="35"/>
      <c r="B701" s="5"/>
      <c r="C701" s="77"/>
      <c r="D701" s="74"/>
      <c r="E701" s="78"/>
    </row>
    <row r="702">
      <c r="A702" s="35"/>
      <c r="B702" s="5"/>
      <c r="C702" s="77"/>
      <c r="D702" s="74"/>
      <c r="E702" s="78"/>
    </row>
    <row r="703">
      <c r="A703" s="35"/>
      <c r="B703" s="5"/>
      <c r="C703" s="77"/>
      <c r="D703" s="74"/>
      <c r="E703" s="78"/>
    </row>
    <row r="704">
      <c r="A704" s="35"/>
      <c r="B704" s="5"/>
      <c r="C704" s="77"/>
      <c r="D704" s="74"/>
      <c r="E704" s="78"/>
    </row>
    <row r="705">
      <c r="A705" s="35"/>
      <c r="B705" s="5"/>
      <c r="C705" s="77"/>
      <c r="D705" s="74"/>
      <c r="E705" s="78"/>
    </row>
    <row r="706">
      <c r="A706" s="35"/>
      <c r="B706" s="5"/>
      <c r="C706" s="77"/>
      <c r="D706" s="74"/>
      <c r="E706" s="78"/>
    </row>
    <row r="707">
      <c r="A707" s="35"/>
      <c r="B707" s="5"/>
      <c r="C707" s="77"/>
      <c r="D707" s="74"/>
      <c r="E707" s="78"/>
    </row>
    <row r="708">
      <c r="A708" s="35"/>
      <c r="B708" s="5"/>
      <c r="C708" s="77"/>
      <c r="D708" s="74"/>
      <c r="E708" s="78"/>
    </row>
    <row r="709">
      <c r="A709" s="35"/>
      <c r="B709" s="5"/>
      <c r="C709" s="77"/>
      <c r="D709" s="74"/>
      <c r="E709" s="78"/>
    </row>
    <row r="710">
      <c r="A710" s="35"/>
      <c r="B710" s="5"/>
      <c r="C710" s="77"/>
      <c r="D710" s="74"/>
      <c r="E710" s="78"/>
    </row>
    <row r="711">
      <c r="A711" s="35"/>
      <c r="B711" s="5"/>
      <c r="C711" s="77"/>
      <c r="D711" s="74"/>
      <c r="E711" s="78"/>
    </row>
    <row r="712">
      <c r="A712" s="35"/>
      <c r="B712" s="5"/>
      <c r="C712" s="77"/>
      <c r="D712" s="74"/>
      <c r="E712" s="78"/>
    </row>
    <row r="713">
      <c r="A713" s="35"/>
      <c r="B713" s="5"/>
      <c r="C713" s="77"/>
      <c r="D713" s="74"/>
      <c r="E713" s="78"/>
    </row>
    <row r="714">
      <c r="A714" s="35"/>
      <c r="B714" s="5"/>
      <c r="C714" s="77"/>
      <c r="D714" s="74"/>
      <c r="E714" s="78"/>
    </row>
    <row r="715">
      <c r="A715" s="35"/>
      <c r="B715" s="5"/>
      <c r="C715" s="77"/>
      <c r="D715" s="74"/>
      <c r="E715" s="78"/>
    </row>
    <row r="716">
      <c r="A716" s="35"/>
      <c r="B716" s="5"/>
      <c r="C716" s="77"/>
      <c r="D716" s="74"/>
      <c r="E716" s="78"/>
    </row>
    <row r="717">
      <c r="A717" s="35"/>
      <c r="B717" s="5"/>
      <c r="C717" s="77"/>
      <c r="D717" s="74"/>
      <c r="E717" s="78"/>
    </row>
    <row r="718">
      <c r="A718" s="35"/>
      <c r="B718" s="5"/>
      <c r="C718" s="77"/>
      <c r="D718" s="74"/>
      <c r="E718" s="78"/>
    </row>
    <row r="719">
      <c r="A719" s="35"/>
      <c r="B719" s="5"/>
      <c r="C719" s="77"/>
      <c r="D719" s="74"/>
      <c r="E719" s="78"/>
    </row>
    <row r="720">
      <c r="A720" s="35"/>
      <c r="B720" s="5"/>
      <c r="C720" s="77"/>
      <c r="D720" s="74"/>
      <c r="E720" s="78"/>
    </row>
    <row r="721">
      <c r="A721" s="35"/>
      <c r="B721" s="5"/>
      <c r="C721" s="77"/>
      <c r="D721" s="74"/>
      <c r="E721" s="78"/>
    </row>
    <row r="722">
      <c r="A722" s="35"/>
      <c r="B722" s="5"/>
      <c r="C722" s="77"/>
      <c r="D722" s="74"/>
      <c r="E722" s="78"/>
    </row>
    <row r="723">
      <c r="A723" s="35"/>
      <c r="B723" s="5"/>
      <c r="C723" s="77"/>
      <c r="D723" s="74"/>
      <c r="E723" s="78"/>
    </row>
    <row r="724">
      <c r="A724" s="35"/>
      <c r="B724" s="5"/>
      <c r="C724" s="77"/>
      <c r="D724" s="74"/>
      <c r="E724" s="78"/>
    </row>
    <row r="725">
      <c r="A725" s="35"/>
      <c r="B725" s="5"/>
      <c r="C725" s="77"/>
      <c r="D725" s="74"/>
      <c r="E725" s="78"/>
    </row>
    <row r="726">
      <c r="A726" s="35"/>
      <c r="B726" s="5"/>
      <c r="C726" s="77"/>
      <c r="D726" s="74"/>
      <c r="E726" s="78"/>
    </row>
    <row r="727">
      <c r="A727" s="35"/>
      <c r="B727" s="5"/>
      <c r="C727" s="77"/>
      <c r="D727" s="74"/>
      <c r="E727" s="78"/>
    </row>
    <row r="728">
      <c r="A728" s="35"/>
      <c r="B728" s="5"/>
      <c r="C728" s="77"/>
      <c r="D728" s="74"/>
      <c r="E728" s="78"/>
    </row>
    <row r="729">
      <c r="A729" s="35"/>
      <c r="B729" s="5"/>
      <c r="C729" s="77"/>
      <c r="D729" s="74"/>
      <c r="E729" s="78"/>
    </row>
    <row r="730">
      <c r="A730" s="35"/>
      <c r="B730" s="5"/>
      <c r="C730" s="77"/>
      <c r="D730" s="74"/>
      <c r="E730" s="78"/>
    </row>
    <row r="731">
      <c r="A731" s="35"/>
      <c r="B731" s="5"/>
      <c r="C731" s="77"/>
      <c r="D731" s="74"/>
      <c r="E731" s="78"/>
    </row>
    <row r="732">
      <c r="A732" s="35"/>
      <c r="B732" s="5"/>
      <c r="C732" s="77"/>
      <c r="D732" s="74"/>
      <c r="E732" s="78"/>
    </row>
    <row r="733">
      <c r="A733" s="35"/>
      <c r="B733" s="5"/>
      <c r="C733" s="77"/>
      <c r="D733" s="74"/>
      <c r="E733" s="78"/>
    </row>
    <row r="734">
      <c r="A734" s="35"/>
      <c r="B734" s="5"/>
      <c r="C734" s="77"/>
      <c r="D734" s="74"/>
      <c r="E734" s="78"/>
    </row>
    <row r="735">
      <c r="A735" s="35"/>
      <c r="B735" s="5"/>
      <c r="C735" s="77"/>
      <c r="D735" s="74"/>
      <c r="E735" s="78"/>
    </row>
    <row r="736">
      <c r="A736" s="35"/>
      <c r="B736" s="5"/>
      <c r="C736" s="77"/>
      <c r="D736" s="74"/>
      <c r="E736" s="78"/>
    </row>
    <row r="737">
      <c r="A737" s="35"/>
      <c r="B737" s="5"/>
      <c r="C737" s="77"/>
      <c r="D737" s="74"/>
      <c r="E737" s="78"/>
    </row>
    <row r="738">
      <c r="A738" s="35"/>
      <c r="B738" s="5"/>
      <c r="C738" s="77"/>
      <c r="D738" s="74"/>
      <c r="E738" s="78"/>
    </row>
    <row r="739">
      <c r="A739" s="35"/>
      <c r="B739" s="5"/>
      <c r="C739" s="77"/>
      <c r="D739" s="74"/>
      <c r="E739" s="78"/>
    </row>
    <row r="740">
      <c r="A740" s="35"/>
      <c r="B740" s="5"/>
      <c r="C740" s="77"/>
      <c r="D740" s="74"/>
      <c r="E740" s="78"/>
    </row>
    <row r="741">
      <c r="A741" s="35"/>
      <c r="B741" s="5"/>
      <c r="C741" s="77"/>
      <c r="D741" s="74"/>
      <c r="E741" s="78"/>
    </row>
    <row r="742">
      <c r="A742" s="35"/>
      <c r="B742" s="5"/>
      <c r="C742" s="77"/>
      <c r="D742" s="74"/>
      <c r="E742" s="78"/>
    </row>
    <row r="743">
      <c r="A743" s="35"/>
      <c r="B743" s="5"/>
      <c r="C743" s="77"/>
      <c r="D743" s="74"/>
      <c r="E743" s="78"/>
    </row>
    <row r="744">
      <c r="A744" s="35"/>
      <c r="B744" s="5"/>
      <c r="C744" s="77"/>
      <c r="D744" s="74"/>
      <c r="E744" s="78"/>
    </row>
    <row r="745">
      <c r="A745" s="35"/>
      <c r="B745" s="5"/>
      <c r="C745" s="77"/>
      <c r="D745" s="74"/>
      <c r="E745" s="78"/>
    </row>
    <row r="746">
      <c r="A746" s="35"/>
      <c r="B746" s="5"/>
      <c r="C746" s="77"/>
      <c r="D746" s="74"/>
      <c r="E746" s="78"/>
    </row>
    <row r="747">
      <c r="A747" s="35"/>
      <c r="B747" s="5"/>
      <c r="C747" s="77"/>
      <c r="D747" s="74"/>
      <c r="E747" s="78"/>
    </row>
    <row r="748">
      <c r="A748" s="35"/>
      <c r="B748" s="5"/>
      <c r="C748" s="77"/>
      <c r="D748" s="74"/>
      <c r="E748" s="78"/>
    </row>
    <row r="749">
      <c r="A749" s="35"/>
      <c r="B749" s="5"/>
      <c r="C749" s="77"/>
      <c r="D749" s="74"/>
      <c r="E749" s="78"/>
    </row>
    <row r="750">
      <c r="A750" s="35"/>
      <c r="B750" s="5"/>
      <c r="C750" s="77"/>
      <c r="D750" s="74"/>
      <c r="E750" s="78"/>
    </row>
    <row r="751">
      <c r="A751" s="35"/>
      <c r="B751" s="5"/>
      <c r="C751" s="77"/>
      <c r="D751" s="74"/>
      <c r="E751" s="78"/>
    </row>
    <row r="752">
      <c r="A752" s="35"/>
      <c r="B752" s="5"/>
      <c r="C752" s="77"/>
      <c r="D752" s="74"/>
      <c r="E752" s="78"/>
    </row>
    <row r="753">
      <c r="A753" s="35"/>
      <c r="B753" s="5"/>
      <c r="C753" s="77"/>
      <c r="D753" s="74"/>
      <c r="E753" s="78"/>
    </row>
    <row r="754">
      <c r="A754" s="35"/>
      <c r="B754" s="5"/>
      <c r="C754" s="77"/>
      <c r="D754" s="74"/>
      <c r="E754" s="78"/>
    </row>
    <row r="755">
      <c r="A755" s="35"/>
      <c r="B755" s="5"/>
      <c r="C755" s="77"/>
      <c r="D755" s="74"/>
      <c r="E755" s="78"/>
    </row>
    <row r="756">
      <c r="A756" s="35"/>
      <c r="B756" s="5"/>
      <c r="C756" s="77"/>
      <c r="D756" s="74"/>
      <c r="E756" s="78"/>
    </row>
    <row r="757">
      <c r="A757" s="35"/>
      <c r="B757" s="5"/>
      <c r="C757" s="77"/>
      <c r="D757" s="74"/>
      <c r="E757" s="78"/>
    </row>
    <row r="758">
      <c r="A758" s="35"/>
      <c r="B758" s="5"/>
      <c r="C758" s="77"/>
      <c r="D758" s="74"/>
      <c r="E758" s="78"/>
    </row>
    <row r="759">
      <c r="A759" s="35"/>
      <c r="B759" s="5"/>
      <c r="C759" s="77"/>
      <c r="D759" s="74"/>
      <c r="E759" s="78"/>
    </row>
    <row r="760">
      <c r="A760" s="35"/>
      <c r="B760" s="5"/>
      <c r="C760" s="77"/>
      <c r="D760" s="74"/>
      <c r="E760" s="78"/>
    </row>
    <row r="761">
      <c r="A761" s="35"/>
      <c r="B761" s="5"/>
      <c r="C761" s="77"/>
      <c r="D761" s="74"/>
      <c r="E761" s="78"/>
    </row>
    <row r="762">
      <c r="A762" s="35"/>
      <c r="B762" s="5"/>
      <c r="C762" s="77"/>
      <c r="D762" s="74"/>
      <c r="E762" s="78"/>
    </row>
    <row r="763">
      <c r="A763" s="35"/>
      <c r="B763" s="5"/>
      <c r="C763" s="77"/>
      <c r="D763" s="74"/>
      <c r="E763" s="78"/>
    </row>
    <row r="764">
      <c r="A764" s="35"/>
      <c r="B764" s="5"/>
      <c r="C764" s="77"/>
      <c r="D764" s="74"/>
      <c r="E764" s="78"/>
    </row>
    <row r="765">
      <c r="A765" s="35"/>
      <c r="B765" s="5"/>
      <c r="C765" s="77"/>
      <c r="D765" s="74"/>
      <c r="E765" s="78"/>
    </row>
    <row r="766">
      <c r="A766" s="35"/>
      <c r="B766" s="5"/>
      <c r="C766" s="77"/>
      <c r="D766" s="74"/>
      <c r="E766" s="78"/>
    </row>
    <row r="767">
      <c r="A767" s="35"/>
      <c r="B767" s="5"/>
      <c r="C767" s="77"/>
      <c r="D767" s="74"/>
      <c r="E767" s="78"/>
    </row>
    <row r="768">
      <c r="A768" s="35"/>
      <c r="B768" s="5"/>
      <c r="C768" s="77"/>
      <c r="D768" s="74"/>
      <c r="E768" s="78"/>
    </row>
    <row r="769">
      <c r="A769" s="35"/>
      <c r="B769" s="5"/>
      <c r="C769" s="77"/>
      <c r="D769" s="74"/>
      <c r="E769" s="78"/>
    </row>
    <row r="770">
      <c r="A770" s="35"/>
      <c r="B770" s="5"/>
      <c r="C770" s="77"/>
      <c r="D770" s="74"/>
      <c r="E770" s="78"/>
    </row>
    <row r="771">
      <c r="A771" s="35"/>
      <c r="B771" s="5"/>
      <c r="C771" s="77"/>
      <c r="D771" s="74"/>
      <c r="E771" s="78"/>
    </row>
    <row r="772">
      <c r="A772" s="35"/>
      <c r="B772" s="5"/>
      <c r="C772" s="77"/>
      <c r="D772" s="74"/>
      <c r="E772" s="78"/>
    </row>
    <row r="773">
      <c r="A773" s="35"/>
      <c r="B773" s="5"/>
      <c r="C773" s="77"/>
      <c r="D773" s="74"/>
      <c r="E773" s="78"/>
    </row>
    <row r="774">
      <c r="A774" s="35"/>
      <c r="B774" s="5"/>
      <c r="C774" s="77"/>
      <c r="D774" s="74"/>
      <c r="E774" s="78"/>
    </row>
    <row r="775">
      <c r="A775" s="35"/>
      <c r="B775" s="5"/>
      <c r="C775" s="77"/>
      <c r="D775" s="74"/>
      <c r="E775" s="78"/>
    </row>
    <row r="776">
      <c r="A776" s="35"/>
      <c r="B776" s="5"/>
      <c r="C776" s="77"/>
      <c r="D776" s="74"/>
      <c r="E776" s="78"/>
    </row>
    <row r="777">
      <c r="A777" s="35"/>
      <c r="B777" s="5"/>
      <c r="C777" s="77"/>
      <c r="D777" s="74"/>
      <c r="E777" s="78"/>
    </row>
    <row r="778">
      <c r="A778" s="35"/>
      <c r="B778" s="5"/>
      <c r="C778" s="77"/>
      <c r="D778" s="74"/>
      <c r="E778" s="78"/>
    </row>
    <row r="779">
      <c r="A779" s="35"/>
      <c r="B779" s="5"/>
      <c r="C779" s="77"/>
      <c r="D779" s="74"/>
      <c r="E779" s="78"/>
    </row>
    <row r="780">
      <c r="A780" s="35"/>
      <c r="B780" s="5"/>
      <c r="C780" s="77"/>
      <c r="D780" s="74"/>
      <c r="E780" s="78"/>
    </row>
    <row r="781">
      <c r="A781" s="35"/>
      <c r="B781" s="5"/>
      <c r="C781" s="77"/>
      <c r="D781" s="74"/>
      <c r="E781" s="78"/>
    </row>
    <row r="782">
      <c r="A782" s="35"/>
      <c r="B782" s="5"/>
      <c r="C782" s="77"/>
      <c r="D782" s="74"/>
      <c r="E782" s="78"/>
    </row>
    <row r="783">
      <c r="A783" s="35"/>
      <c r="B783" s="5"/>
      <c r="C783" s="77"/>
      <c r="D783" s="74"/>
      <c r="E783" s="78"/>
    </row>
    <row r="784">
      <c r="A784" s="35"/>
      <c r="B784" s="5"/>
      <c r="C784" s="77"/>
      <c r="D784" s="74"/>
      <c r="E784" s="78"/>
    </row>
    <row r="785">
      <c r="A785" s="35"/>
      <c r="B785" s="5"/>
      <c r="C785" s="77"/>
      <c r="D785" s="74"/>
      <c r="E785" s="78"/>
    </row>
    <row r="786">
      <c r="A786" s="35"/>
      <c r="B786" s="5"/>
      <c r="C786" s="77"/>
      <c r="D786" s="74"/>
      <c r="E786" s="78"/>
    </row>
    <row r="787">
      <c r="A787" s="35"/>
      <c r="B787" s="5"/>
      <c r="C787" s="77"/>
      <c r="D787" s="74"/>
      <c r="E787" s="78"/>
    </row>
    <row r="788">
      <c r="A788" s="35"/>
      <c r="B788" s="5"/>
      <c r="C788" s="77"/>
      <c r="D788" s="74"/>
      <c r="E788" s="78"/>
    </row>
    <row r="789">
      <c r="A789" s="35"/>
      <c r="B789" s="5"/>
      <c r="C789" s="77"/>
      <c r="D789" s="74"/>
      <c r="E789" s="78"/>
    </row>
    <row r="790">
      <c r="A790" s="35"/>
      <c r="B790" s="5"/>
      <c r="C790" s="77"/>
      <c r="D790" s="74"/>
      <c r="E790" s="78"/>
    </row>
    <row r="791">
      <c r="A791" s="35"/>
      <c r="B791" s="5"/>
      <c r="C791" s="77"/>
      <c r="D791" s="74"/>
      <c r="E791" s="78"/>
    </row>
    <row r="792">
      <c r="A792" s="35"/>
      <c r="B792" s="5"/>
      <c r="C792" s="77"/>
      <c r="D792" s="74"/>
      <c r="E792" s="78"/>
    </row>
    <row r="793">
      <c r="A793" s="35"/>
      <c r="B793" s="5"/>
      <c r="C793" s="77"/>
      <c r="D793" s="74"/>
      <c r="E793" s="78"/>
    </row>
    <row r="794">
      <c r="A794" s="35"/>
      <c r="B794" s="5"/>
      <c r="C794" s="77"/>
      <c r="D794" s="74"/>
      <c r="E794" s="78"/>
    </row>
    <row r="795">
      <c r="A795" s="35"/>
      <c r="B795" s="5"/>
      <c r="C795" s="77"/>
      <c r="D795" s="74"/>
      <c r="E795" s="78"/>
    </row>
    <row r="796">
      <c r="A796" s="35"/>
      <c r="B796" s="5"/>
      <c r="C796" s="77"/>
      <c r="D796" s="74"/>
      <c r="E796" s="78"/>
    </row>
    <row r="797">
      <c r="A797" s="35"/>
      <c r="B797" s="5"/>
      <c r="C797" s="77"/>
      <c r="D797" s="74"/>
      <c r="E797" s="78"/>
    </row>
    <row r="798">
      <c r="A798" s="35"/>
      <c r="B798" s="5"/>
      <c r="C798" s="77"/>
      <c r="D798" s="74"/>
      <c r="E798" s="78"/>
    </row>
    <row r="799">
      <c r="A799" s="35"/>
      <c r="B799" s="5"/>
      <c r="C799" s="77"/>
      <c r="D799" s="74"/>
      <c r="E799" s="78"/>
    </row>
    <row r="800">
      <c r="A800" s="35"/>
      <c r="B800" s="5"/>
      <c r="C800" s="77"/>
      <c r="D800" s="74"/>
      <c r="E800" s="78"/>
    </row>
    <row r="801">
      <c r="A801" s="35"/>
      <c r="B801" s="5"/>
      <c r="C801" s="77"/>
      <c r="D801" s="74"/>
      <c r="E801" s="78"/>
    </row>
    <row r="802">
      <c r="A802" s="35"/>
      <c r="B802" s="5"/>
      <c r="C802" s="77"/>
      <c r="D802" s="74"/>
      <c r="E802" s="78"/>
    </row>
    <row r="803">
      <c r="A803" s="35"/>
      <c r="B803" s="5"/>
      <c r="C803" s="77"/>
      <c r="D803" s="74"/>
      <c r="E803" s="78"/>
    </row>
    <row r="804">
      <c r="A804" s="35"/>
      <c r="B804" s="5"/>
      <c r="C804" s="77"/>
      <c r="D804" s="74"/>
      <c r="E804" s="78"/>
    </row>
    <row r="805">
      <c r="A805" s="35"/>
      <c r="B805" s="5"/>
      <c r="C805" s="77"/>
      <c r="D805" s="74"/>
      <c r="E805" s="78"/>
    </row>
    <row r="806">
      <c r="A806" s="35"/>
      <c r="B806" s="5"/>
      <c r="C806" s="77"/>
      <c r="D806" s="74"/>
      <c r="E806" s="78"/>
    </row>
    <row r="807">
      <c r="A807" s="35"/>
      <c r="B807" s="5"/>
      <c r="C807" s="77"/>
      <c r="D807" s="74"/>
      <c r="E807" s="78"/>
    </row>
    <row r="808">
      <c r="A808" s="35"/>
      <c r="B808" s="5"/>
      <c r="C808" s="77"/>
      <c r="D808" s="74"/>
      <c r="E808" s="78"/>
    </row>
    <row r="809">
      <c r="A809" s="35"/>
      <c r="B809" s="5"/>
      <c r="C809" s="77"/>
      <c r="D809" s="74"/>
      <c r="E809" s="78"/>
    </row>
    <row r="810">
      <c r="A810" s="35"/>
      <c r="B810" s="5"/>
      <c r="C810" s="77"/>
      <c r="D810" s="74"/>
      <c r="E810" s="78"/>
    </row>
    <row r="811">
      <c r="A811" s="35"/>
      <c r="B811" s="5"/>
      <c r="C811" s="77"/>
      <c r="D811" s="74"/>
      <c r="E811" s="78"/>
    </row>
    <row r="812">
      <c r="A812" s="35"/>
      <c r="B812" s="5"/>
      <c r="C812" s="77"/>
      <c r="D812" s="74"/>
      <c r="E812" s="78"/>
    </row>
    <row r="813">
      <c r="A813" s="35"/>
      <c r="B813" s="5"/>
      <c r="C813" s="77"/>
      <c r="D813" s="74"/>
      <c r="E813" s="78"/>
    </row>
    <row r="814">
      <c r="A814" s="35"/>
      <c r="B814" s="5"/>
      <c r="C814" s="77"/>
      <c r="D814" s="74"/>
      <c r="E814" s="78"/>
    </row>
    <row r="815">
      <c r="A815" s="35"/>
      <c r="B815" s="5"/>
      <c r="C815" s="77"/>
      <c r="D815" s="74"/>
      <c r="E815" s="78"/>
    </row>
    <row r="816">
      <c r="A816" s="35"/>
      <c r="B816" s="5"/>
      <c r="C816" s="77"/>
      <c r="D816" s="74"/>
      <c r="E816" s="78"/>
    </row>
    <row r="817">
      <c r="A817" s="35"/>
      <c r="B817" s="5"/>
      <c r="C817" s="77"/>
      <c r="D817" s="74"/>
      <c r="E817" s="78"/>
    </row>
    <row r="818">
      <c r="A818" s="35"/>
      <c r="B818" s="5"/>
      <c r="C818" s="77"/>
      <c r="D818" s="74"/>
      <c r="E818" s="78"/>
    </row>
    <row r="819">
      <c r="A819" s="35"/>
      <c r="B819" s="5"/>
      <c r="C819" s="77"/>
      <c r="D819" s="74"/>
      <c r="E819" s="78"/>
    </row>
    <row r="820">
      <c r="A820" s="35"/>
      <c r="B820" s="5"/>
      <c r="C820" s="77"/>
      <c r="D820" s="74"/>
      <c r="E820" s="78"/>
    </row>
    <row r="821">
      <c r="A821" s="35"/>
      <c r="B821" s="5"/>
      <c r="C821" s="77"/>
      <c r="D821" s="74"/>
      <c r="E821" s="78"/>
    </row>
    <row r="822">
      <c r="A822" s="35"/>
      <c r="B822" s="5"/>
      <c r="C822" s="77"/>
      <c r="D822" s="74"/>
      <c r="E822" s="78"/>
    </row>
    <row r="823">
      <c r="A823" s="35"/>
      <c r="B823" s="5"/>
      <c r="C823" s="77"/>
      <c r="D823" s="74"/>
      <c r="E823" s="78"/>
    </row>
    <row r="824">
      <c r="A824" s="35"/>
      <c r="B824" s="5"/>
      <c r="C824" s="77"/>
      <c r="D824" s="74"/>
      <c r="E824" s="78"/>
    </row>
    <row r="825">
      <c r="A825" s="35"/>
      <c r="B825" s="5"/>
      <c r="C825" s="77"/>
      <c r="D825" s="74"/>
      <c r="E825" s="78"/>
    </row>
    <row r="826">
      <c r="A826" s="35"/>
      <c r="B826" s="5"/>
      <c r="C826" s="77"/>
      <c r="D826" s="74"/>
      <c r="E826" s="78"/>
    </row>
    <row r="827">
      <c r="A827" s="35"/>
      <c r="B827" s="5"/>
      <c r="C827" s="77"/>
      <c r="D827" s="74"/>
      <c r="E827" s="78"/>
    </row>
    <row r="828">
      <c r="A828" s="35"/>
      <c r="B828" s="5"/>
      <c r="C828" s="77"/>
      <c r="D828" s="74"/>
      <c r="E828" s="78"/>
    </row>
    <row r="829">
      <c r="A829" s="35"/>
      <c r="B829" s="5"/>
      <c r="C829" s="77"/>
      <c r="D829" s="74"/>
      <c r="E829" s="78"/>
    </row>
    <row r="830">
      <c r="A830" s="35"/>
      <c r="B830" s="5"/>
      <c r="C830" s="77"/>
      <c r="D830" s="74"/>
      <c r="E830" s="78"/>
    </row>
    <row r="831">
      <c r="A831" s="35"/>
      <c r="B831" s="5"/>
      <c r="C831" s="77"/>
      <c r="D831" s="74"/>
      <c r="E831" s="78"/>
    </row>
    <row r="832">
      <c r="A832" s="35"/>
      <c r="B832" s="5"/>
      <c r="C832" s="77"/>
      <c r="D832" s="74"/>
      <c r="E832" s="78"/>
    </row>
    <row r="833">
      <c r="A833" s="35"/>
      <c r="B833" s="5"/>
      <c r="C833" s="77"/>
      <c r="D833" s="74"/>
      <c r="E833" s="78"/>
    </row>
    <row r="834">
      <c r="A834" s="35"/>
      <c r="B834" s="5"/>
      <c r="C834" s="77"/>
      <c r="D834" s="74"/>
      <c r="E834" s="78"/>
    </row>
    <row r="835">
      <c r="A835" s="35"/>
      <c r="B835" s="5"/>
      <c r="C835" s="77"/>
      <c r="D835" s="74"/>
      <c r="E835" s="78"/>
    </row>
    <row r="836">
      <c r="A836" s="35"/>
      <c r="B836" s="5"/>
      <c r="C836" s="77"/>
      <c r="D836" s="74"/>
      <c r="E836" s="78"/>
    </row>
    <row r="837">
      <c r="A837" s="35"/>
      <c r="B837" s="5"/>
      <c r="C837" s="77"/>
      <c r="D837" s="74"/>
      <c r="E837" s="78"/>
    </row>
    <row r="838">
      <c r="A838" s="35"/>
      <c r="B838" s="5"/>
      <c r="C838" s="77"/>
      <c r="D838" s="74"/>
      <c r="E838" s="78"/>
    </row>
    <row r="839">
      <c r="A839" s="35"/>
      <c r="B839" s="5"/>
      <c r="C839" s="77"/>
      <c r="D839" s="74"/>
      <c r="E839" s="78"/>
    </row>
    <row r="840">
      <c r="A840" s="35"/>
      <c r="B840" s="5"/>
      <c r="C840" s="77"/>
      <c r="D840" s="74"/>
      <c r="E840" s="78"/>
    </row>
    <row r="841">
      <c r="A841" s="35"/>
      <c r="B841" s="5"/>
      <c r="C841" s="77"/>
      <c r="D841" s="74"/>
      <c r="E841" s="78"/>
    </row>
    <row r="842">
      <c r="A842" s="35"/>
      <c r="B842" s="5"/>
      <c r="C842" s="77"/>
      <c r="D842" s="74"/>
      <c r="E842" s="78"/>
    </row>
    <row r="843">
      <c r="A843" s="35"/>
      <c r="B843" s="5"/>
      <c r="C843" s="77"/>
      <c r="D843" s="74"/>
      <c r="E843" s="78"/>
    </row>
    <row r="844">
      <c r="A844" s="35"/>
      <c r="B844" s="5"/>
      <c r="C844" s="77"/>
      <c r="D844" s="74"/>
      <c r="E844" s="78"/>
    </row>
    <row r="845">
      <c r="A845" s="35"/>
      <c r="B845" s="5"/>
      <c r="C845" s="77"/>
      <c r="D845" s="74"/>
      <c r="E845" s="78"/>
    </row>
    <row r="846">
      <c r="A846" s="35"/>
      <c r="B846" s="5"/>
      <c r="C846" s="77"/>
      <c r="D846" s="74"/>
      <c r="E846" s="78"/>
    </row>
    <row r="847">
      <c r="A847" s="35"/>
      <c r="B847" s="5"/>
      <c r="C847" s="77"/>
      <c r="D847" s="74"/>
      <c r="E847" s="78"/>
    </row>
    <row r="848">
      <c r="A848" s="35"/>
      <c r="B848" s="5"/>
      <c r="C848" s="77"/>
      <c r="D848" s="74"/>
      <c r="E848" s="78"/>
    </row>
    <row r="849">
      <c r="A849" s="35"/>
      <c r="B849" s="5"/>
      <c r="C849" s="77"/>
      <c r="D849" s="74"/>
      <c r="E849" s="78"/>
    </row>
    <row r="850">
      <c r="A850" s="35"/>
      <c r="B850" s="5"/>
      <c r="C850" s="77"/>
      <c r="D850" s="74"/>
      <c r="E850" s="78"/>
    </row>
    <row r="851">
      <c r="A851" s="35"/>
      <c r="B851" s="5"/>
      <c r="C851" s="77"/>
      <c r="D851" s="74"/>
      <c r="E851" s="78"/>
    </row>
    <row r="852">
      <c r="A852" s="35"/>
      <c r="B852" s="5"/>
      <c r="C852" s="77"/>
      <c r="D852" s="74"/>
      <c r="E852" s="78"/>
    </row>
    <row r="853">
      <c r="A853" s="35"/>
      <c r="B853" s="5"/>
      <c r="C853" s="77"/>
      <c r="D853" s="74"/>
      <c r="E853" s="78"/>
    </row>
    <row r="854">
      <c r="A854" s="35"/>
      <c r="B854" s="5"/>
      <c r="C854" s="77"/>
      <c r="D854" s="74"/>
      <c r="E854" s="78"/>
    </row>
    <row r="855">
      <c r="A855" s="35"/>
      <c r="B855" s="5"/>
      <c r="C855" s="77"/>
      <c r="D855" s="74"/>
      <c r="E855" s="78"/>
    </row>
    <row r="856">
      <c r="A856" s="35"/>
      <c r="B856" s="5"/>
      <c r="C856" s="77"/>
      <c r="D856" s="74"/>
      <c r="E856" s="78"/>
    </row>
    <row r="857">
      <c r="A857" s="35"/>
      <c r="B857" s="5"/>
      <c r="C857" s="77"/>
      <c r="D857" s="74"/>
      <c r="E857" s="78"/>
    </row>
    <row r="858">
      <c r="A858" s="35"/>
      <c r="B858" s="5"/>
      <c r="C858" s="77"/>
      <c r="D858" s="74"/>
      <c r="E858" s="78"/>
    </row>
    <row r="859">
      <c r="A859" s="35"/>
      <c r="B859" s="5"/>
      <c r="C859" s="77"/>
      <c r="D859" s="74"/>
      <c r="E859" s="78"/>
    </row>
    <row r="860">
      <c r="A860" s="35"/>
      <c r="B860" s="5"/>
      <c r="C860" s="77"/>
      <c r="D860" s="74"/>
      <c r="E860" s="78"/>
    </row>
    <row r="861">
      <c r="A861" s="35"/>
      <c r="B861" s="5"/>
      <c r="C861" s="77"/>
      <c r="D861" s="74"/>
      <c r="E861" s="78"/>
    </row>
    <row r="862">
      <c r="A862" s="35"/>
      <c r="B862" s="5"/>
      <c r="C862" s="77"/>
      <c r="D862" s="74"/>
      <c r="E862" s="78"/>
    </row>
    <row r="863">
      <c r="A863" s="35"/>
      <c r="B863" s="5"/>
      <c r="C863" s="77"/>
      <c r="D863" s="74"/>
      <c r="E863" s="78"/>
    </row>
    <row r="864">
      <c r="A864" s="35"/>
      <c r="B864" s="5"/>
      <c r="C864" s="77"/>
      <c r="D864" s="74"/>
      <c r="E864" s="78"/>
    </row>
    <row r="865">
      <c r="A865" s="35"/>
      <c r="B865" s="5"/>
      <c r="C865" s="77"/>
      <c r="D865" s="74"/>
      <c r="E865" s="78"/>
    </row>
    <row r="866">
      <c r="A866" s="35"/>
      <c r="B866" s="5"/>
      <c r="C866" s="77"/>
      <c r="D866" s="74"/>
      <c r="E866" s="78"/>
    </row>
    <row r="867">
      <c r="A867" s="35"/>
      <c r="B867" s="5"/>
      <c r="C867" s="77"/>
      <c r="D867" s="74"/>
      <c r="E867" s="78"/>
    </row>
    <row r="868">
      <c r="A868" s="35"/>
      <c r="B868" s="5"/>
      <c r="C868" s="77"/>
      <c r="D868" s="74"/>
      <c r="E868" s="78"/>
    </row>
    <row r="869">
      <c r="A869" s="35"/>
      <c r="B869" s="5"/>
      <c r="C869" s="77"/>
      <c r="D869" s="74"/>
      <c r="E869" s="78"/>
    </row>
    <row r="870">
      <c r="A870" s="35"/>
      <c r="B870" s="5"/>
      <c r="C870" s="77"/>
      <c r="D870" s="74"/>
      <c r="E870" s="78"/>
    </row>
    <row r="871">
      <c r="A871" s="35"/>
      <c r="B871" s="5"/>
      <c r="C871" s="77"/>
      <c r="D871" s="74"/>
      <c r="E871" s="78"/>
    </row>
    <row r="872">
      <c r="A872" s="35"/>
      <c r="B872" s="5"/>
      <c r="C872" s="77"/>
      <c r="D872" s="74"/>
      <c r="E872" s="78"/>
    </row>
    <row r="873">
      <c r="A873" s="35"/>
      <c r="B873" s="5"/>
      <c r="C873" s="77"/>
      <c r="D873" s="74"/>
      <c r="E873" s="78"/>
    </row>
    <row r="874">
      <c r="A874" s="35"/>
      <c r="B874" s="5"/>
      <c r="C874" s="77"/>
      <c r="D874" s="74"/>
      <c r="E874" s="78"/>
    </row>
    <row r="875">
      <c r="A875" s="35"/>
      <c r="B875" s="5"/>
      <c r="C875" s="77"/>
      <c r="D875" s="74"/>
      <c r="E875" s="78"/>
    </row>
    <row r="876">
      <c r="A876" s="35"/>
      <c r="B876" s="5"/>
      <c r="C876" s="77"/>
      <c r="D876" s="74"/>
      <c r="E876" s="78"/>
    </row>
    <row r="877">
      <c r="A877" s="35"/>
      <c r="B877" s="5"/>
      <c r="C877" s="77"/>
      <c r="D877" s="74"/>
      <c r="E877" s="78"/>
    </row>
    <row r="878">
      <c r="A878" s="35"/>
      <c r="B878" s="5"/>
      <c r="C878" s="77"/>
      <c r="D878" s="74"/>
      <c r="E878" s="78"/>
    </row>
    <row r="879">
      <c r="A879" s="35"/>
      <c r="B879" s="5"/>
      <c r="C879" s="77"/>
      <c r="D879" s="74"/>
      <c r="E879" s="78"/>
    </row>
    <row r="880">
      <c r="A880" s="35"/>
      <c r="B880" s="5"/>
      <c r="C880" s="77"/>
      <c r="D880" s="74"/>
      <c r="E880" s="78"/>
    </row>
    <row r="881">
      <c r="A881" s="35"/>
      <c r="B881" s="5"/>
      <c r="C881" s="77"/>
      <c r="D881" s="74"/>
      <c r="E881" s="78"/>
    </row>
    <row r="882">
      <c r="A882" s="35"/>
      <c r="B882" s="5"/>
      <c r="C882" s="77"/>
      <c r="D882" s="74"/>
      <c r="E882" s="78"/>
    </row>
    <row r="883">
      <c r="A883" s="35"/>
      <c r="B883" s="5"/>
      <c r="C883" s="77"/>
      <c r="D883" s="74"/>
      <c r="E883" s="78"/>
    </row>
    <row r="884">
      <c r="A884" s="35"/>
      <c r="B884" s="5"/>
      <c r="C884" s="77"/>
      <c r="D884" s="74"/>
      <c r="E884" s="78"/>
    </row>
    <row r="885">
      <c r="A885" s="35"/>
      <c r="B885" s="5"/>
      <c r="C885" s="77"/>
      <c r="D885" s="74"/>
      <c r="E885" s="78"/>
    </row>
    <row r="886">
      <c r="A886" s="35"/>
      <c r="B886" s="5"/>
      <c r="C886" s="77"/>
      <c r="D886" s="74"/>
      <c r="E886" s="78"/>
    </row>
    <row r="887">
      <c r="A887" s="35"/>
      <c r="B887" s="5"/>
      <c r="C887" s="77"/>
      <c r="D887" s="74"/>
      <c r="E887" s="78"/>
    </row>
    <row r="888">
      <c r="A888" s="35"/>
      <c r="B888" s="5"/>
      <c r="C888" s="77"/>
      <c r="D888" s="74"/>
      <c r="E888" s="78"/>
    </row>
    <row r="889">
      <c r="A889" s="35"/>
      <c r="B889" s="5"/>
      <c r="C889" s="77"/>
      <c r="D889" s="74"/>
      <c r="E889" s="78"/>
    </row>
    <row r="890">
      <c r="A890" s="35"/>
      <c r="B890" s="5"/>
      <c r="C890" s="77"/>
      <c r="D890" s="74"/>
      <c r="E890" s="78"/>
    </row>
    <row r="891">
      <c r="A891" s="35"/>
      <c r="B891" s="5"/>
      <c r="C891" s="77"/>
      <c r="D891" s="74"/>
      <c r="E891" s="78"/>
    </row>
    <row r="892">
      <c r="A892" s="35"/>
      <c r="B892" s="5"/>
      <c r="C892" s="77"/>
      <c r="D892" s="74"/>
      <c r="E892" s="78"/>
    </row>
    <row r="893">
      <c r="A893" s="35"/>
      <c r="B893" s="5"/>
      <c r="C893" s="77"/>
      <c r="D893" s="74"/>
      <c r="E893" s="78"/>
    </row>
    <row r="894">
      <c r="A894" s="35"/>
      <c r="B894" s="5"/>
      <c r="C894" s="77"/>
      <c r="D894" s="74"/>
      <c r="E894" s="78"/>
    </row>
    <row r="895">
      <c r="A895" s="35"/>
      <c r="B895" s="5"/>
      <c r="C895" s="77"/>
      <c r="D895" s="74"/>
      <c r="E895" s="78"/>
    </row>
    <row r="896">
      <c r="A896" s="35"/>
      <c r="B896" s="5"/>
      <c r="C896" s="77"/>
      <c r="D896" s="74"/>
      <c r="E896" s="78"/>
    </row>
    <row r="897">
      <c r="A897" s="35"/>
      <c r="B897" s="5"/>
      <c r="C897" s="77"/>
      <c r="D897" s="74"/>
      <c r="E897" s="78"/>
    </row>
    <row r="898">
      <c r="A898" s="35"/>
      <c r="B898" s="5"/>
      <c r="C898" s="77"/>
      <c r="D898" s="74"/>
      <c r="E898" s="78"/>
    </row>
    <row r="899">
      <c r="A899" s="35"/>
      <c r="B899" s="5"/>
      <c r="C899" s="77"/>
      <c r="D899" s="74"/>
      <c r="E899" s="78"/>
    </row>
    <row r="900">
      <c r="A900" s="35"/>
      <c r="B900" s="5"/>
      <c r="C900" s="77"/>
      <c r="D900" s="74"/>
      <c r="E900" s="78"/>
    </row>
    <row r="901">
      <c r="A901" s="35"/>
      <c r="B901" s="5"/>
      <c r="C901" s="77"/>
      <c r="D901" s="74"/>
      <c r="E901" s="78"/>
    </row>
    <row r="902">
      <c r="A902" s="35"/>
      <c r="B902" s="5"/>
      <c r="C902" s="77"/>
      <c r="D902" s="74"/>
      <c r="E902" s="78"/>
    </row>
    <row r="903">
      <c r="A903" s="35"/>
      <c r="B903" s="5"/>
      <c r="C903" s="77"/>
      <c r="D903" s="74"/>
      <c r="E903" s="78"/>
    </row>
    <row r="904">
      <c r="A904" s="35"/>
      <c r="B904" s="5"/>
      <c r="C904" s="77"/>
      <c r="D904" s="74"/>
      <c r="E904" s="78"/>
    </row>
    <row r="905">
      <c r="A905" s="35"/>
      <c r="B905" s="5"/>
      <c r="C905" s="77"/>
      <c r="D905" s="74"/>
      <c r="E905" s="78"/>
    </row>
    <row r="906">
      <c r="A906" s="35"/>
      <c r="B906" s="5"/>
      <c r="C906" s="77"/>
      <c r="D906" s="74"/>
      <c r="E906" s="78"/>
    </row>
    <row r="907">
      <c r="A907" s="35"/>
      <c r="B907" s="5"/>
      <c r="C907" s="77"/>
      <c r="D907" s="74"/>
      <c r="E907" s="78"/>
    </row>
    <row r="908">
      <c r="A908" s="35"/>
      <c r="B908" s="5"/>
      <c r="C908" s="77"/>
      <c r="D908" s="74"/>
      <c r="E908" s="78"/>
    </row>
    <row r="909">
      <c r="A909" s="35"/>
      <c r="B909" s="5"/>
      <c r="C909" s="77"/>
      <c r="D909" s="74"/>
      <c r="E909" s="78"/>
    </row>
    <row r="910">
      <c r="A910" s="35"/>
      <c r="B910" s="5"/>
      <c r="C910" s="77"/>
      <c r="D910" s="74"/>
      <c r="E910" s="78"/>
    </row>
    <row r="911">
      <c r="A911" s="35"/>
      <c r="B911" s="5"/>
      <c r="C911" s="77"/>
      <c r="D911" s="74"/>
      <c r="E911" s="78"/>
    </row>
    <row r="912">
      <c r="A912" s="35"/>
      <c r="B912" s="5"/>
      <c r="C912" s="77"/>
      <c r="D912" s="74"/>
      <c r="E912" s="78"/>
    </row>
    <row r="913">
      <c r="A913" s="35"/>
      <c r="B913" s="5"/>
      <c r="C913" s="77"/>
      <c r="D913" s="74"/>
      <c r="E913" s="78"/>
    </row>
    <row r="914">
      <c r="A914" s="35"/>
      <c r="B914" s="5"/>
      <c r="C914" s="77"/>
      <c r="D914" s="74"/>
      <c r="E914" s="78"/>
    </row>
    <row r="915">
      <c r="A915" s="35"/>
      <c r="B915" s="5"/>
      <c r="C915" s="77"/>
      <c r="D915" s="74"/>
      <c r="E915" s="78"/>
    </row>
    <row r="916">
      <c r="A916" s="35"/>
      <c r="B916" s="5"/>
      <c r="C916" s="77"/>
      <c r="D916" s="74"/>
      <c r="E916" s="78"/>
    </row>
    <row r="917">
      <c r="A917" s="35"/>
      <c r="B917" s="5"/>
      <c r="C917" s="77"/>
      <c r="D917" s="74"/>
      <c r="E917" s="78"/>
    </row>
    <row r="918">
      <c r="A918" s="35"/>
      <c r="B918" s="5"/>
      <c r="C918" s="77"/>
      <c r="D918" s="74"/>
      <c r="E918" s="78"/>
    </row>
    <row r="919">
      <c r="A919" s="35"/>
      <c r="B919" s="5"/>
      <c r="C919" s="77"/>
      <c r="D919" s="74"/>
      <c r="E919" s="78"/>
    </row>
    <row r="920">
      <c r="A920" s="35"/>
      <c r="B920" s="5"/>
      <c r="C920" s="77"/>
      <c r="D920" s="74"/>
      <c r="E920" s="78"/>
    </row>
    <row r="921">
      <c r="A921" s="35"/>
      <c r="B921" s="5"/>
      <c r="C921" s="77"/>
      <c r="D921" s="74"/>
      <c r="E921" s="78"/>
    </row>
    <row r="922">
      <c r="A922" s="35"/>
      <c r="B922" s="5"/>
      <c r="C922" s="77"/>
      <c r="D922" s="74"/>
      <c r="E922" s="78"/>
    </row>
    <row r="923">
      <c r="A923" s="35"/>
      <c r="B923" s="5"/>
      <c r="C923" s="77"/>
      <c r="D923" s="74"/>
      <c r="E923" s="78"/>
    </row>
    <row r="924">
      <c r="A924" s="35"/>
      <c r="B924" s="5"/>
      <c r="C924" s="77"/>
      <c r="D924" s="74"/>
      <c r="E924" s="78"/>
    </row>
    <row r="925">
      <c r="A925" s="35"/>
      <c r="B925" s="5"/>
      <c r="C925" s="77"/>
      <c r="D925" s="74"/>
      <c r="E925" s="78"/>
    </row>
    <row r="926">
      <c r="A926" s="35"/>
      <c r="B926" s="5"/>
      <c r="C926" s="77"/>
      <c r="D926" s="74"/>
      <c r="E926" s="78"/>
    </row>
    <row r="927">
      <c r="A927" s="35"/>
      <c r="B927" s="5"/>
      <c r="C927" s="77"/>
      <c r="D927" s="74"/>
      <c r="E927" s="78"/>
    </row>
    <row r="928">
      <c r="A928" s="35"/>
      <c r="B928" s="5"/>
      <c r="C928" s="77"/>
      <c r="D928" s="74"/>
      <c r="E928" s="78"/>
    </row>
    <row r="929">
      <c r="A929" s="35"/>
      <c r="B929" s="5"/>
      <c r="C929" s="77"/>
      <c r="D929" s="74"/>
      <c r="E929" s="78"/>
    </row>
    <row r="930">
      <c r="A930" s="35"/>
      <c r="B930" s="5"/>
      <c r="C930" s="77"/>
      <c r="D930" s="74"/>
      <c r="E930" s="78"/>
    </row>
    <row r="931">
      <c r="A931" s="35"/>
      <c r="B931" s="5"/>
      <c r="C931" s="77"/>
      <c r="D931" s="74"/>
      <c r="E931" s="78"/>
    </row>
    <row r="932">
      <c r="A932" s="35"/>
      <c r="B932" s="5"/>
      <c r="C932" s="77"/>
      <c r="D932" s="74"/>
      <c r="E932" s="78"/>
    </row>
    <row r="933">
      <c r="A933" s="35"/>
      <c r="B933" s="5"/>
      <c r="C933" s="77"/>
      <c r="D933" s="74"/>
      <c r="E933" s="78"/>
    </row>
    <row r="934">
      <c r="A934" s="35"/>
      <c r="B934" s="5"/>
      <c r="C934" s="77"/>
      <c r="D934" s="74"/>
      <c r="E934" s="78"/>
    </row>
    <row r="935">
      <c r="A935" s="35"/>
      <c r="B935" s="5"/>
      <c r="C935" s="77"/>
      <c r="D935" s="74"/>
      <c r="E935" s="78"/>
    </row>
    <row r="936">
      <c r="A936" s="35"/>
      <c r="B936" s="5"/>
      <c r="C936" s="77"/>
      <c r="D936" s="74"/>
      <c r="E936" s="78"/>
    </row>
    <row r="937">
      <c r="A937" s="35"/>
      <c r="B937" s="5"/>
      <c r="C937" s="77"/>
      <c r="D937" s="74"/>
      <c r="E937" s="78"/>
    </row>
    <row r="938">
      <c r="A938" s="35"/>
      <c r="B938" s="5"/>
      <c r="C938" s="77"/>
      <c r="D938" s="74"/>
      <c r="E938" s="78"/>
    </row>
    <row r="939">
      <c r="A939" s="35"/>
      <c r="B939" s="5"/>
      <c r="C939" s="77"/>
      <c r="D939" s="74"/>
      <c r="E939" s="78"/>
    </row>
    <row r="940">
      <c r="A940" s="35"/>
      <c r="B940" s="5"/>
      <c r="C940" s="77"/>
      <c r="D940" s="74"/>
      <c r="E940" s="78"/>
    </row>
    <row r="941">
      <c r="A941" s="35"/>
      <c r="B941" s="5"/>
      <c r="C941" s="77"/>
      <c r="D941" s="74"/>
      <c r="E941" s="78"/>
    </row>
    <row r="942">
      <c r="A942" s="35"/>
      <c r="B942" s="5"/>
      <c r="C942" s="77"/>
      <c r="D942" s="74"/>
      <c r="E942" s="78"/>
    </row>
    <row r="943">
      <c r="A943" s="35"/>
      <c r="B943" s="5"/>
      <c r="C943" s="77"/>
      <c r="D943" s="74"/>
      <c r="E943" s="78"/>
    </row>
    <row r="944">
      <c r="A944" s="35"/>
      <c r="B944" s="5"/>
      <c r="C944" s="77"/>
      <c r="D944" s="74"/>
      <c r="E944" s="78"/>
    </row>
    <row r="945">
      <c r="A945" s="35"/>
      <c r="B945" s="5"/>
      <c r="C945" s="77"/>
      <c r="D945" s="74"/>
      <c r="E945" s="78"/>
    </row>
    <row r="946">
      <c r="A946" s="35"/>
      <c r="B946" s="5"/>
      <c r="C946" s="77"/>
      <c r="D946" s="74"/>
      <c r="E946" s="78"/>
    </row>
    <row r="947">
      <c r="A947" s="35"/>
      <c r="B947" s="5"/>
      <c r="C947" s="77"/>
      <c r="D947" s="74"/>
      <c r="E947" s="78"/>
    </row>
    <row r="948">
      <c r="A948" s="35"/>
      <c r="B948" s="5"/>
      <c r="C948" s="77"/>
      <c r="D948" s="74"/>
      <c r="E948" s="78"/>
    </row>
    <row r="949">
      <c r="A949" s="35"/>
      <c r="B949" s="5"/>
      <c r="C949" s="77"/>
      <c r="D949" s="74"/>
      <c r="E949" s="78"/>
    </row>
    <row r="950">
      <c r="A950" s="35"/>
      <c r="B950" s="5"/>
      <c r="C950" s="77"/>
      <c r="D950" s="74"/>
      <c r="E950" s="78"/>
    </row>
    <row r="951">
      <c r="A951" s="35"/>
      <c r="B951" s="5"/>
      <c r="C951" s="77"/>
      <c r="D951" s="74"/>
      <c r="E951" s="78"/>
    </row>
    <row r="952">
      <c r="A952" s="35"/>
      <c r="B952" s="5"/>
      <c r="C952" s="77"/>
      <c r="D952" s="74"/>
      <c r="E952" s="78"/>
    </row>
    <row r="953">
      <c r="A953" s="35"/>
      <c r="B953" s="5"/>
      <c r="C953" s="77"/>
      <c r="D953" s="74"/>
      <c r="E953" s="78"/>
    </row>
    <row r="954">
      <c r="A954" s="35"/>
      <c r="B954" s="5"/>
      <c r="C954" s="77"/>
      <c r="D954" s="74"/>
      <c r="E954" s="78"/>
    </row>
    <row r="955">
      <c r="A955" s="35"/>
      <c r="B955" s="5"/>
      <c r="C955" s="77"/>
      <c r="D955" s="74"/>
      <c r="E955" s="78"/>
    </row>
    <row r="956">
      <c r="A956" s="35"/>
      <c r="B956" s="5"/>
      <c r="C956" s="77"/>
      <c r="D956" s="74"/>
      <c r="E956" s="78"/>
    </row>
    <row r="957">
      <c r="A957" s="35"/>
      <c r="B957" s="5"/>
      <c r="C957" s="77"/>
      <c r="D957" s="74"/>
      <c r="E957" s="78"/>
    </row>
    <row r="958">
      <c r="A958" s="35"/>
      <c r="B958" s="5"/>
      <c r="C958" s="77"/>
      <c r="D958" s="74"/>
      <c r="E958" s="78"/>
    </row>
    <row r="959">
      <c r="A959" s="35"/>
      <c r="B959" s="5"/>
      <c r="C959" s="77"/>
      <c r="D959" s="74"/>
      <c r="E959" s="78"/>
    </row>
    <row r="960">
      <c r="A960" s="35"/>
      <c r="B960" s="5"/>
      <c r="C960" s="77"/>
      <c r="D960" s="74"/>
      <c r="E960" s="78"/>
    </row>
    <row r="961">
      <c r="A961" s="35"/>
      <c r="B961" s="5"/>
      <c r="C961" s="77"/>
      <c r="D961" s="74"/>
      <c r="E961" s="78"/>
    </row>
    <row r="962">
      <c r="A962" s="35"/>
      <c r="B962" s="5"/>
      <c r="C962" s="77"/>
      <c r="D962" s="74"/>
      <c r="E962" s="78"/>
    </row>
    <row r="963">
      <c r="A963" s="35"/>
      <c r="B963" s="5"/>
      <c r="C963" s="77"/>
      <c r="D963" s="74"/>
      <c r="E963" s="78"/>
    </row>
    <row r="964">
      <c r="A964" s="35"/>
      <c r="B964" s="5"/>
      <c r="C964" s="77"/>
      <c r="D964" s="74"/>
      <c r="E964" s="78"/>
    </row>
    <row r="965">
      <c r="A965" s="35"/>
      <c r="B965" s="5"/>
      <c r="C965" s="77"/>
      <c r="D965" s="74"/>
      <c r="E965" s="78"/>
    </row>
    <row r="966">
      <c r="A966" s="35"/>
      <c r="B966" s="5"/>
      <c r="C966" s="77"/>
      <c r="D966" s="74"/>
      <c r="E966" s="78"/>
    </row>
    <row r="967">
      <c r="A967" s="35"/>
      <c r="B967" s="5"/>
      <c r="C967" s="77"/>
      <c r="D967" s="74"/>
      <c r="E967" s="78"/>
    </row>
    <row r="968">
      <c r="A968" s="35"/>
      <c r="B968" s="5"/>
      <c r="C968" s="77"/>
      <c r="D968" s="74"/>
      <c r="E968" s="78"/>
    </row>
    <row r="969">
      <c r="A969" s="35"/>
      <c r="B969" s="5"/>
      <c r="C969" s="77"/>
      <c r="D969" s="74"/>
      <c r="E969" s="78"/>
    </row>
    <row r="970">
      <c r="A970" s="35"/>
      <c r="B970" s="5"/>
      <c r="C970" s="77"/>
      <c r="D970" s="74"/>
      <c r="E970" s="78"/>
    </row>
    <row r="971">
      <c r="A971" s="35"/>
      <c r="B971" s="5"/>
      <c r="C971" s="77"/>
      <c r="D971" s="74"/>
      <c r="E971" s="78"/>
    </row>
    <row r="972">
      <c r="A972" s="35"/>
      <c r="B972" s="5"/>
      <c r="C972" s="77"/>
      <c r="D972" s="74"/>
      <c r="E972" s="78"/>
    </row>
    <row r="973">
      <c r="A973" s="35"/>
      <c r="B973" s="5"/>
      <c r="C973" s="77"/>
      <c r="D973" s="74"/>
      <c r="E973" s="78"/>
    </row>
    <row r="974">
      <c r="A974" s="35"/>
      <c r="B974" s="5"/>
      <c r="C974" s="77"/>
      <c r="D974" s="74"/>
      <c r="E974" s="78"/>
    </row>
    <row r="975">
      <c r="A975" s="35"/>
      <c r="B975" s="5"/>
      <c r="C975" s="77"/>
      <c r="D975" s="74"/>
      <c r="E975" s="78"/>
    </row>
    <row r="976">
      <c r="A976" s="35"/>
      <c r="B976" s="5"/>
      <c r="C976" s="77"/>
      <c r="D976" s="74"/>
      <c r="E976" s="78"/>
    </row>
    <row r="977">
      <c r="A977" s="35"/>
      <c r="B977" s="5"/>
      <c r="C977" s="77"/>
      <c r="D977" s="74"/>
      <c r="E977" s="78"/>
    </row>
    <row r="978">
      <c r="A978" s="35"/>
      <c r="B978" s="5"/>
      <c r="C978" s="77"/>
      <c r="D978" s="74"/>
      <c r="E978" s="78"/>
    </row>
    <row r="979">
      <c r="A979" s="35"/>
      <c r="B979" s="5"/>
      <c r="C979" s="77"/>
      <c r="D979" s="74"/>
      <c r="E979" s="78"/>
    </row>
    <row r="980">
      <c r="A980" s="35"/>
      <c r="B980" s="5"/>
      <c r="C980" s="77"/>
      <c r="D980" s="74"/>
      <c r="E980" s="78"/>
    </row>
    <row r="981">
      <c r="A981" s="35"/>
      <c r="B981" s="5"/>
      <c r="C981" s="77"/>
      <c r="D981" s="74"/>
      <c r="E981" s="78"/>
    </row>
    <row r="982">
      <c r="A982" s="35"/>
      <c r="B982" s="5"/>
      <c r="C982" s="77"/>
      <c r="D982" s="74"/>
      <c r="E982" s="78"/>
    </row>
    <row r="983">
      <c r="A983" s="35"/>
      <c r="B983" s="5"/>
      <c r="C983" s="77"/>
      <c r="D983" s="74"/>
      <c r="E983" s="78"/>
    </row>
    <row r="984">
      <c r="A984" s="35"/>
      <c r="B984" s="5"/>
      <c r="C984" s="77"/>
      <c r="D984" s="74"/>
      <c r="E984" s="78"/>
    </row>
    <row r="985">
      <c r="A985" s="35"/>
      <c r="B985" s="5"/>
      <c r="C985" s="77"/>
      <c r="D985" s="74"/>
      <c r="E985" s="78"/>
    </row>
    <row r="986">
      <c r="A986" s="35"/>
      <c r="B986" s="5"/>
      <c r="C986" s="77"/>
      <c r="D986" s="74"/>
      <c r="E986" s="78"/>
    </row>
    <row r="987">
      <c r="A987" s="35"/>
      <c r="B987" s="5"/>
      <c r="C987" s="77"/>
      <c r="D987" s="74"/>
      <c r="E987" s="7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21.25"/>
  </cols>
  <sheetData>
    <row r="1">
      <c r="A1" s="31" t="s">
        <v>471</v>
      </c>
    </row>
    <row r="2">
      <c r="A2" s="31" t="s">
        <v>472</v>
      </c>
    </row>
    <row r="3">
      <c r="A3" s="31" t="s">
        <v>473</v>
      </c>
    </row>
    <row r="5">
      <c r="A5" s="88"/>
      <c r="B5" s="89" t="s">
        <v>474</v>
      </c>
      <c r="C5" s="89" t="s">
        <v>475</v>
      </c>
      <c r="D5" s="89" t="s">
        <v>476</v>
      </c>
      <c r="E5" s="89" t="s">
        <v>477</v>
      </c>
    </row>
    <row r="6">
      <c r="A6" s="89" t="s">
        <v>478</v>
      </c>
      <c r="B6" s="90" t="s">
        <v>37</v>
      </c>
      <c r="C6" s="90" t="s">
        <v>479</v>
      </c>
      <c r="D6" s="90" t="s">
        <v>480</v>
      </c>
      <c r="E6" s="90" t="s">
        <v>42</v>
      </c>
    </row>
    <row r="7">
      <c r="A7" s="89" t="s">
        <v>49</v>
      </c>
      <c r="B7" s="90" t="s">
        <v>50</v>
      </c>
      <c r="C7" s="90" t="s">
        <v>51</v>
      </c>
      <c r="D7" s="90" t="s">
        <v>52</v>
      </c>
      <c r="E7" s="90" t="s">
        <v>53</v>
      </c>
    </row>
    <row r="8">
      <c r="A8" s="89" t="s">
        <v>54</v>
      </c>
      <c r="B8" s="90" t="s">
        <v>55</v>
      </c>
      <c r="C8" s="90" t="s">
        <v>56</v>
      </c>
      <c r="D8" s="90" t="s">
        <v>57</v>
      </c>
      <c r="E8" s="90" t="s">
        <v>58</v>
      </c>
    </row>
    <row r="9">
      <c r="A9" s="89" t="s">
        <v>481</v>
      </c>
      <c r="B9" s="90" t="s">
        <v>482</v>
      </c>
      <c r="C9" s="90" t="s">
        <v>483</v>
      </c>
      <c r="D9" s="90" t="s">
        <v>484</v>
      </c>
      <c r="E9" s="90" t="s">
        <v>485</v>
      </c>
    </row>
    <row r="10">
      <c r="A10" s="89" t="s">
        <v>486</v>
      </c>
      <c r="B10" s="90" t="s">
        <v>101</v>
      </c>
      <c r="C10" s="90" t="s">
        <v>487</v>
      </c>
      <c r="D10" s="90" t="s">
        <v>103</v>
      </c>
      <c r="E10" s="90" t="s">
        <v>488</v>
      </c>
    </row>
    <row r="11">
      <c r="A11" s="89" t="s">
        <v>489</v>
      </c>
      <c r="B11" s="91" t="s">
        <v>490</v>
      </c>
      <c r="C11" s="92"/>
      <c r="D11" s="92"/>
      <c r="E11" s="92"/>
    </row>
    <row r="12">
      <c r="A12" s="89" t="s">
        <v>105</v>
      </c>
      <c r="B12" s="90" t="s">
        <v>106</v>
      </c>
      <c r="C12" s="90" t="s">
        <v>107</v>
      </c>
      <c r="D12" s="90" t="s">
        <v>108</v>
      </c>
      <c r="E12" s="90" t="s">
        <v>109</v>
      </c>
    </row>
    <row r="13">
      <c r="A13" s="89" t="s">
        <v>110</v>
      </c>
      <c r="B13" s="90" t="s">
        <v>111</v>
      </c>
      <c r="C13" s="90" t="s">
        <v>112</v>
      </c>
      <c r="D13" s="90" t="s">
        <v>113</v>
      </c>
      <c r="E13" s="90" t="s">
        <v>114</v>
      </c>
    </row>
    <row r="14">
      <c r="A14" s="89" t="s">
        <v>115</v>
      </c>
      <c r="B14" s="88"/>
      <c r="C14" s="88"/>
      <c r="D14" s="88"/>
      <c r="E14" s="8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4" width="40.13"/>
    <col customWidth="1" min="5" max="26" width="14.88"/>
  </cols>
  <sheetData>
    <row r="1">
      <c r="A1" s="93" t="s">
        <v>491</v>
      </c>
      <c r="B1" s="93" t="s">
        <v>492</v>
      </c>
      <c r="C1" s="93" t="s">
        <v>493</v>
      </c>
      <c r="D1" s="93" t="s">
        <v>494</v>
      </c>
    </row>
    <row r="2">
      <c r="A2" s="94" t="s">
        <v>495</v>
      </c>
      <c r="B2" s="94" t="s">
        <v>496</v>
      </c>
      <c r="C2" s="95"/>
      <c r="D2" s="94" t="s">
        <v>497</v>
      </c>
    </row>
    <row r="3">
      <c r="A3" s="94" t="s">
        <v>498</v>
      </c>
      <c r="B3" s="94" t="s">
        <v>499</v>
      </c>
      <c r="C3" s="95"/>
      <c r="D3" s="94" t="s">
        <v>497</v>
      </c>
    </row>
    <row r="4">
      <c r="A4" s="94" t="s">
        <v>500</v>
      </c>
      <c r="B4" s="94" t="s">
        <v>501</v>
      </c>
      <c r="C4" s="95"/>
      <c r="D4" s="95"/>
    </row>
    <row r="5">
      <c r="A5" s="94" t="s">
        <v>502</v>
      </c>
      <c r="B5" s="94" t="s">
        <v>503</v>
      </c>
      <c r="C5" s="94" t="s">
        <v>504</v>
      </c>
      <c r="D5" s="95"/>
    </row>
    <row r="6">
      <c r="A6" s="94" t="s">
        <v>505</v>
      </c>
      <c r="B6" s="94" t="s">
        <v>503</v>
      </c>
      <c r="C6" s="94" t="s">
        <v>503</v>
      </c>
      <c r="D6" s="94" t="s">
        <v>506</v>
      </c>
    </row>
    <row r="7">
      <c r="A7" s="94" t="s">
        <v>507</v>
      </c>
      <c r="B7" s="94" t="s">
        <v>508</v>
      </c>
      <c r="C7" s="94" t="s">
        <v>503</v>
      </c>
      <c r="D7" s="94" t="s">
        <v>509</v>
      </c>
    </row>
    <row r="8">
      <c r="A8" s="94" t="s">
        <v>510</v>
      </c>
      <c r="B8" s="94" t="s">
        <v>511</v>
      </c>
      <c r="C8" s="94" t="s">
        <v>511</v>
      </c>
      <c r="D8" s="95"/>
    </row>
    <row r="9">
      <c r="A9" s="94" t="s">
        <v>512</v>
      </c>
      <c r="B9" s="94" t="s">
        <v>513</v>
      </c>
      <c r="C9" s="94" t="s">
        <v>503</v>
      </c>
      <c r="D9" s="95"/>
    </row>
    <row r="10">
      <c r="A10" s="94" t="s">
        <v>514</v>
      </c>
      <c r="B10" s="95"/>
      <c r="C10" s="95"/>
      <c r="D10" s="95"/>
    </row>
    <row r="11">
      <c r="A11" s="94" t="s">
        <v>515</v>
      </c>
      <c r="B11" s="95"/>
      <c r="C11" s="95"/>
      <c r="D11" s="95"/>
    </row>
    <row r="12">
      <c r="A12" s="94" t="s">
        <v>516</v>
      </c>
      <c r="B12" s="95"/>
      <c r="C12" s="95"/>
      <c r="D12" s="95"/>
    </row>
    <row r="13">
      <c r="A13" s="94" t="s">
        <v>517</v>
      </c>
      <c r="B13" s="95"/>
      <c r="C13" s="95"/>
      <c r="D13" s="95"/>
    </row>
    <row r="14">
      <c r="A14" s="94" t="s">
        <v>518</v>
      </c>
      <c r="B14" s="95"/>
      <c r="C14" s="95"/>
      <c r="D14" s="95"/>
    </row>
    <row r="15">
      <c r="A15" s="94" t="s">
        <v>519</v>
      </c>
      <c r="B15" s="95"/>
      <c r="C15" s="95"/>
      <c r="D15" s="95"/>
    </row>
    <row r="16">
      <c r="A16" s="94" t="s">
        <v>520</v>
      </c>
      <c r="B16" s="95"/>
      <c r="C16" s="95"/>
      <c r="D16" s="95"/>
    </row>
    <row r="17">
      <c r="A17" s="94" t="s">
        <v>521</v>
      </c>
      <c r="B17" s="95"/>
      <c r="C17" s="95"/>
      <c r="D17" s="95"/>
    </row>
    <row r="18">
      <c r="A18" s="94" t="s">
        <v>522</v>
      </c>
      <c r="B18" s="95"/>
      <c r="C18" s="95"/>
      <c r="D18" s="95"/>
    </row>
    <row r="19">
      <c r="A19" s="94" t="s">
        <v>523</v>
      </c>
      <c r="B19" s="95"/>
      <c r="C19" s="95"/>
      <c r="D19" s="95"/>
    </row>
    <row r="20">
      <c r="A20" s="94" t="s">
        <v>524</v>
      </c>
      <c r="B20" s="95"/>
      <c r="C20" s="95"/>
      <c r="D20" s="95"/>
    </row>
    <row r="21">
      <c r="A21" s="94" t="s">
        <v>525</v>
      </c>
      <c r="B21" s="95"/>
      <c r="C21" s="95"/>
      <c r="D21" s="95"/>
    </row>
    <row r="22">
      <c r="A22" s="94" t="s">
        <v>526</v>
      </c>
      <c r="B22" s="95"/>
      <c r="C22" s="95"/>
      <c r="D22" s="95"/>
    </row>
    <row r="23">
      <c r="A23" s="94" t="s">
        <v>527</v>
      </c>
      <c r="B23" s="95"/>
      <c r="C23" s="95"/>
      <c r="D23" s="95"/>
    </row>
    <row r="24">
      <c r="A24" s="94" t="s">
        <v>528</v>
      </c>
      <c r="B24" s="95"/>
      <c r="C24" s="95"/>
      <c r="D24" s="95"/>
    </row>
    <row r="25">
      <c r="A25" s="94" t="s">
        <v>529</v>
      </c>
      <c r="B25" s="95"/>
      <c r="C25" s="95"/>
      <c r="D25" s="95"/>
    </row>
    <row r="26">
      <c r="A26" s="94" t="s">
        <v>530</v>
      </c>
      <c r="B26" s="95"/>
      <c r="C26" s="95"/>
      <c r="D26" s="9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531</v>
      </c>
    </row>
    <row r="2">
      <c r="A2" s="31" t="s">
        <v>532</v>
      </c>
    </row>
    <row r="3">
      <c r="A3" s="31" t="s">
        <v>533</v>
      </c>
    </row>
    <row r="4">
      <c r="A4" s="31" t="s">
        <v>534</v>
      </c>
    </row>
    <row r="5">
      <c r="A5" s="31" t="s">
        <v>535</v>
      </c>
    </row>
    <row r="6">
      <c r="A6" s="31" t="s">
        <v>536</v>
      </c>
    </row>
    <row r="7">
      <c r="A7" s="31" t="s">
        <v>537</v>
      </c>
    </row>
    <row r="9">
      <c r="A9" s="31" t="s">
        <v>538</v>
      </c>
    </row>
    <row r="10">
      <c r="A10" s="31" t="s">
        <v>539</v>
      </c>
    </row>
    <row r="11">
      <c r="A11" s="31" t="s">
        <v>540</v>
      </c>
    </row>
    <row r="12">
      <c r="A12" s="31" t="s">
        <v>541</v>
      </c>
    </row>
    <row r="14">
      <c r="A14" s="31" t="s">
        <v>542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53.63"/>
  </cols>
  <sheetData>
    <row r="1">
      <c r="A1" s="97" t="s">
        <v>235</v>
      </c>
      <c r="B1" s="98" t="s">
        <v>543</v>
      </c>
      <c r="C1" s="98" t="s">
        <v>300</v>
      </c>
      <c r="D1" s="98" t="s">
        <v>544</v>
      </c>
      <c r="E1" s="98" t="s">
        <v>545</v>
      </c>
      <c r="F1" s="99" t="s">
        <v>546</v>
      </c>
      <c r="G1" s="100" t="s">
        <v>5</v>
      </c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101" t="s">
        <v>547</v>
      </c>
      <c r="B2" s="102">
        <v>2.0</v>
      </c>
      <c r="C2" s="102">
        <v>2.0</v>
      </c>
      <c r="D2" s="102">
        <v>1.0</v>
      </c>
      <c r="E2" s="102" t="s">
        <v>548</v>
      </c>
      <c r="F2" s="103"/>
      <c r="G2" s="104"/>
    </row>
    <row r="3">
      <c r="A3" s="101" t="s">
        <v>549</v>
      </c>
      <c r="B3" s="102">
        <v>1.0</v>
      </c>
      <c r="C3" s="102">
        <v>3.0</v>
      </c>
      <c r="D3" s="102">
        <v>1.0</v>
      </c>
      <c r="E3" s="102" t="s">
        <v>548</v>
      </c>
      <c r="F3" s="103"/>
      <c r="G3" s="104"/>
    </row>
    <row r="4">
      <c r="A4" s="101" t="s">
        <v>550</v>
      </c>
      <c r="B4" s="102">
        <v>0.0</v>
      </c>
      <c r="C4" s="102">
        <v>4.0</v>
      </c>
      <c r="D4" s="102">
        <v>0.0</v>
      </c>
      <c r="E4" s="102" t="s">
        <v>548</v>
      </c>
      <c r="F4" s="103"/>
      <c r="G4" s="104"/>
    </row>
    <row r="5">
      <c r="A5" s="101" t="s">
        <v>551</v>
      </c>
      <c r="B5" s="102">
        <v>0.0</v>
      </c>
      <c r="C5" s="102">
        <v>2.0</v>
      </c>
      <c r="D5" s="102">
        <v>2.0</v>
      </c>
      <c r="E5" s="102" t="s">
        <v>548</v>
      </c>
      <c r="F5" s="105"/>
      <c r="G5" s="106"/>
    </row>
    <row r="6">
      <c r="A6" s="101" t="s">
        <v>552</v>
      </c>
      <c r="B6" s="102">
        <v>0.0</v>
      </c>
      <c r="C6" s="102" t="str">
        <f>"+1"</f>
        <v>+1</v>
      </c>
      <c r="D6" s="102">
        <v>0.0</v>
      </c>
      <c r="E6" s="102" t="s">
        <v>548</v>
      </c>
      <c r="F6" s="105" t="s">
        <v>553</v>
      </c>
      <c r="G6" s="106" t="s">
        <v>554</v>
      </c>
    </row>
    <row r="7">
      <c r="A7" s="101" t="s">
        <v>555</v>
      </c>
      <c r="B7" s="102">
        <v>0.0</v>
      </c>
      <c r="C7" s="102">
        <v>0.0</v>
      </c>
      <c r="D7" s="102" t="s">
        <v>503</v>
      </c>
      <c r="E7" s="102" t="s">
        <v>556</v>
      </c>
      <c r="F7" s="105" t="s">
        <v>557</v>
      </c>
      <c r="G7" s="106" t="s">
        <v>558</v>
      </c>
    </row>
    <row r="8">
      <c r="A8" s="101" t="s">
        <v>559</v>
      </c>
      <c r="B8" s="102">
        <v>0.0</v>
      </c>
      <c r="C8" s="102" t="s">
        <v>560</v>
      </c>
      <c r="D8" s="102" t="s">
        <v>503</v>
      </c>
      <c r="E8" s="102" t="s">
        <v>548</v>
      </c>
      <c r="F8" s="105" t="s">
        <v>559</v>
      </c>
      <c r="G8" s="106" t="s">
        <v>561</v>
      </c>
    </row>
    <row r="9">
      <c r="A9" s="74"/>
      <c r="B9" s="107"/>
      <c r="C9" s="107"/>
      <c r="D9" s="107"/>
      <c r="E9" s="107"/>
      <c r="F9" s="103"/>
      <c r="G9" s="104"/>
    </row>
    <row r="10">
      <c r="B10" s="23"/>
      <c r="C10" s="23"/>
      <c r="D10" s="23"/>
      <c r="E10" s="23"/>
      <c r="F10" s="23"/>
      <c r="G10" s="108"/>
    </row>
    <row r="11">
      <c r="A11" s="31" t="s">
        <v>562</v>
      </c>
      <c r="B11" s="23"/>
      <c r="C11" s="23"/>
      <c r="D11" s="23"/>
      <c r="E11" s="23"/>
      <c r="F11" s="23"/>
      <c r="G11" s="108"/>
    </row>
    <row r="12">
      <c r="A12" s="31" t="s">
        <v>563</v>
      </c>
      <c r="B12" s="23"/>
      <c r="C12" s="23"/>
      <c r="D12" s="23"/>
      <c r="E12" s="23"/>
      <c r="F12" s="23"/>
      <c r="G12" s="108"/>
    </row>
    <row r="13">
      <c r="A13" s="31" t="s">
        <v>564</v>
      </c>
      <c r="B13" s="23"/>
      <c r="C13" s="23"/>
      <c r="D13" s="23"/>
      <c r="E13" s="23"/>
      <c r="F13" s="23"/>
      <c r="G13" s="108"/>
    </row>
    <row r="14">
      <c r="A14" s="31" t="s">
        <v>565</v>
      </c>
      <c r="B14" s="23"/>
      <c r="C14" s="23"/>
      <c r="D14" s="23"/>
      <c r="E14" s="23"/>
      <c r="F14" s="23"/>
      <c r="G14" s="108"/>
    </row>
    <row r="15">
      <c r="A15" s="31" t="s">
        <v>566</v>
      </c>
      <c r="B15" s="23"/>
      <c r="C15" s="23"/>
      <c r="D15" s="23"/>
      <c r="E15" s="23"/>
      <c r="F15" s="23"/>
      <c r="G15" s="108"/>
    </row>
    <row r="16">
      <c r="B16" s="23"/>
      <c r="C16" s="23"/>
      <c r="D16" s="23"/>
      <c r="E16" s="23"/>
      <c r="F16" s="23"/>
      <c r="G16" s="108"/>
    </row>
    <row r="17">
      <c r="A17" s="31" t="s">
        <v>567</v>
      </c>
      <c r="B17" s="23"/>
      <c r="C17" s="23"/>
      <c r="D17" s="23"/>
      <c r="E17" s="23"/>
      <c r="F17" s="23"/>
      <c r="G17" s="108"/>
    </row>
    <row r="18">
      <c r="A18" s="31" t="s">
        <v>568</v>
      </c>
      <c r="B18" s="23"/>
      <c r="C18" s="23"/>
      <c r="D18" s="23"/>
      <c r="E18" s="23"/>
      <c r="F18" s="23"/>
      <c r="G18" s="108"/>
    </row>
    <row r="19">
      <c r="B19" s="23"/>
      <c r="C19" s="23"/>
      <c r="D19" s="23"/>
      <c r="E19" s="23"/>
      <c r="F19" s="23"/>
      <c r="G19" s="108"/>
    </row>
    <row r="20">
      <c r="A20" s="31" t="s">
        <v>569</v>
      </c>
      <c r="B20" s="23"/>
      <c r="C20" s="23"/>
      <c r="D20" s="23"/>
      <c r="E20" s="23"/>
      <c r="F20" s="23"/>
      <c r="G20" s="108"/>
    </row>
    <row r="21">
      <c r="B21" s="23"/>
      <c r="C21" s="23"/>
      <c r="D21" s="23"/>
      <c r="E21" s="23"/>
      <c r="F21" s="23"/>
      <c r="G21" s="108"/>
    </row>
    <row r="22">
      <c r="B22" s="23"/>
      <c r="C22" s="23"/>
      <c r="D22" s="23"/>
      <c r="E22" s="23"/>
      <c r="F22" s="23"/>
      <c r="G22" s="108"/>
    </row>
    <row r="23">
      <c r="B23" s="23"/>
      <c r="C23" s="23"/>
      <c r="D23" s="23"/>
      <c r="E23" s="23"/>
      <c r="F23" s="23"/>
      <c r="G23" s="108"/>
    </row>
    <row r="24">
      <c r="B24" s="23"/>
      <c r="C24" s="23"/>
      <c r="D24" s="23"/>
      <c r="E24" s="23"/>
      <c r="F24" s="23"/>
      <c r="G24" s="108"/>
    </row>
    <row r="25">
      <c r="B25" s="23"/>
      <c r="C25" s="23"/>
      <c r="D25" s="23"/>
      <c r="E25" s="23"/>
      <c r="F25" s="23"/>
      <c r="G25" s="108"/>
    </row>
    <row r="26">
      <c r="B26" s="23"/>
      <c r="C26" s="23"/>
      <c r="D26" s="23"/>
      <c r="E26" s="23"/>
      <c r="F26" s="23"/>
      <c r="G26" s="108"/>
    </row>
    <row r="27">
      <c r="B27" s="23"/>
      <c r="C27" s="23"/>
      <c r="D27" s="23"/>
      <c r="E27" s="23"/>
      <c r="F27" s="23"/>
      <c r="G27" s="108"/>
    </row>
    <row r="28">
      <c r="B28" s="23"/>
      <c r="C28" s="23"/>
      <c r="D28" s="23"/>
      <c r="E28" s="23"/>
      <c r="F28" s="23"/>
      <c r="G28" s="108"/>
    </row>
    <row r="29">
      <c r="B29" s="23"/>
      <c r="C29" s="23"/>
      <c r="D29" s="23"/>
      <c r="E29" s="23"/>
      <c r="F29" s="23"/>
      <c r="G29" s="108"/>
    </row>
    <row r="30">
      <c r="B30" s="23"/>
      <c r="C30" s="23"/>
      <c r="D30" s="23"/>
      <c r="E30" s="23"/>
      <c r="F30" s="23"/>
      <c r="G30" s="108"/>
    </row>
    <row r="31">
      <c r="B31" s="23"/>
      <c r="C31" s="23"/>
      <c r="D31" s="23"/>
      <c r="E31" s="23"/>
      <c r="F31" s="23"/>
      <c r="G31" s="108"/>
    </row>
    <row r="32">
      <c r="B32" s="23"/>
      <c r="C32" s="23"/>
      <c r="D32" s="23"/>
      <c r="E32" s="23"/>
      <c r="F32" s="23"/>
      <c r="G32" s="108"/>
    </row>
    <row r="33">
      <c r="B33" s="23"/>
      <c r="C33" s="23"/>
      <c r="D33" s="23"/>
      <c r="E33" s="23"/>
      <c r="F33" s="23"/>
      <c r="G33" s="108"/>
    </row>
    <row r="34">
      <c r="B34" s="23"/>
      <c r="C34" s="23"/>
      <c r="D34" s="23"/>
      <c r="E34" s="23"/>
      <c r="F34" s="23"/>
      <c r="G34" s="108"/>
    </row>
    <row r="35">
      <c r="B35" s="23"/>
      <c r="C35" s="23"/>
      <c r="D35" s="23"/>
      <c r="E35" s="23"/>
      <c r="F35" s="23"/>
      <c r="G35" s="108"/>
    </row>
    <row r="36">
      <c r="B36" s="23"/>
      <c r="C36" s="23"/>
      <c r="D36" s="23"/>
      <c r="E36" s="23"/>
      <c r="F36" s="23"/>
      <c r="G36" s="108"/>
    </row>
    <row r="37">
      <c r="B37" s="23"/>
      <c r="C37" s="23"/>
      <c r="D37" s="23"/>
      <c r="E37" s="23"/>
      <c r="F37" s="23"/>
      <c r="G37" s="108"/>
    </row>
    <row r="38">
      <c r="B38" s="23"/>
      <c r="C38" s="23"/>
      <c r="D38" s="23"/>
      <c r="E38" s="23"/>
      <c r="F38" s="23"/>
      <c r="G38" s="108"/>
    </row>
    <row r="39">
      <c r="B39" s="23"/>
      <c r="C39" s="23"/>
      <c r="D39" s="23"/>
      <c r="E39" s="23"/>
      <c r="F39" s="23"/>
      <c r="G39" s="108"/>
    </row>
    <row r="40">
      <c r="B40" s="23"/>
      <c r="C40" s="23"/>
      <c r="D40" s="23"/>
      <c r="E40" s="23"/>
      <c r="F40" s="23"/>
      <c r="G40" s="108"/>
    </row>
    <row r="41">
      <c r="B41" s="23"/>
      <c r="C41" s="23"/>
      <c r="D41" s="23"/>
      <c r="E41" s="23"/>
      <c r="F41" s="23"/>
      <c r="G41" s="108"/>
    </row>
    <row r="42">
      <c r="B42" s="23"/>
      <c r="C42" s="23"/>
      <c r="D42" s="23"/>
      <c r="E42" s="23"/>
      <c r="F42" s="23"/>
      <c r="G42" s="108"/>
    </row>
    <row r="43">
      <c r="B43" s="23"/>
      <c r="C43" s="23"/>
      <c r="D43" s="23"/>
      <c r="E43" s="23"/>
      <c r="F43" s="23"/>
      <c r="G43" s="108"/>
    </row>
    <row r="44">
      <c r="B44" s="23"/>
      <c r="C44" s="23"/>
      <c r="D44" s="23"/>
      <c r="E44" s="23"/>
      <c r="F44" s="23"/>
      <c r="G44" s="108"/>
    </row>
    <row r="45">
      <c r="B45" s="23"/>
      <c r="C45" s="23"/>
      <c r="D45" s="23"/>
      <c r="E45" s="23"/>
      <c r="F45" s="23"/>
      <c r="G45" s="108"/>
    </row>
    <row r="46">
      <c r="B46" s="23"/>
      <c r="C46" s="23"/>
      <c r="D46" s="23"/>
      <c r="E46" s="23"/>
      <c r="F46" s="23"/>
      <c r="G46" s="108"/>
    </row>
    <row r="47">
      <c r="B47" s="23"/>
      <c r="C47" s="23"/>
      <c r="D47" s="23"/>
      <c r="E47" s="23"/>
      <c r="F47" s="23"/>
      <c r="G47" s="108"/>
    </row>
    <row r="48">
      <c r="B48" s="23"/>
      <c r="C48" s="23"/>
      <c r="D48" s="23"/>
      <c r="E48" s="23"/>
      <c r="F48" s="23"/>
      <c r="G48" s="108"/>
    </row>
    <row r="49">
      <c r="B49" s="23"/>
      <c r="C49" s="23"/>
      <c r="D49" s="23"/>
      <c r="E49" s="23"/>
      <c r="F49" s="23"/>
      <c r="G49" s="108"/>
    </row>
    <row r="50">
      <c r="B50" s="23"/>
      <c r="C50" s="23"/>
      <c r="D50" s="23"/>
      <c r="E50" s="23"/>
      <c r="F50" s="23"/>
      <c r="G50" s="108"/>
    </row>
    <row r="51">
      <c r="B51" s="23"/>
      <c r="C51" s="23"/>
      <c r="D51" s="23"/>
      <c r="E51" s="23"/>
      <c r="F51" s="23"/>
      <c r="G51" s="108"/>
    </row>
    <row r="52">
      <c r="B52" s="23"/>
      <c r="C52" s="23"/>
      <c r="D52" s="23"/>
      <c r="E52" s="23"/>
      <c r="F52" s="23"/>
      <c r="G52" s="108"/>
    </row>
    <row r="53">
      <c r="B53" s="23"/>
      <c r="C53" s="23"/>
      <c r="D53" s="23"/>
      <c r="E53" s="23"/>
      <c r="F53" s="23"/>
      <c r="G53" s="108"/>
    </row>
    <row r="54">
      <c r="B54" s="23"/>
      <c r="C54" s="23"/>
      <c r="D54" s="23"/>
      <c r="E54" s="23"/>
      <c r="F54" s="23"/>
      <c r="G54" s="108"/>
    </row>
    <row r="55">
      <c r="B55" s="23"/>
      <c r="C55" s="23"/>
      <c r="D55" s="23"/>
      <c r="E55" s="23"/>
      <c r="F55" s="23"/>
      <c r="G55" s="108"/>
    </row>
    <row r="56">
      <c r="B56" s="23"/>
      <c r="C56" s="23"/>
      <c r="D56" s="23"/>
      <c r="E56" s="23"/>
      <c r="F56" s="23"/>
      <c r="G56" s="108"/>
    </row>
    <row r="57">
      <c r="B57" s="23"/>
      <c r="C57" s="23"/>
      <c r="D57" s="23"/>
      <c r="E57" s="23"/>
      <c r="F57" s="23"/>
      <c r="G57" s="108"/>
    </row>
    <row r="58">
      <c r="B58" s="23"/>
      <c r="C58" s="23"/>
      <c r="D58" s="23"/>
      <c r="E58" s="23"/>
      <c r="F58" s="23"/>
      <c r="G58" s="108"/>
    </row>
    <row r="59">
      <c r="B59" s="23"/>
      <c r="C59" s="23"/>
      <c r="D59" s="23"/>
      <c r="E59" s="23"/>
      <c r="F59" s="23"/>
      <c r="G59" s="108"/>
    </row>
    <row r="60">
      <c r="B60" s="23"/>
      <c r="C60" s="23"/>
      <c r="D60" s="23"/>
      <c r="E60" s="23"/>
      <c r="F60" s="23"/>
      <c r="G60" s="108"/>
    </row>
    <row r="61">
      <c r="B61" s="23"/>
      <c r="C61" s="23"/>
      <c r="D61" s="23"/>
      <c r="E61" s="23"/>
      <c r="F61" s="23"/>
      <c r="G61" s="108"/>
    </row>
    <row r="62">
      <c r="B62" s="23"/>
      <c r="C62" s="23"/>
      <c r="D62" s="23"/>
      <c r="E62" s="23"/>
      <c r="F62" s="23"/>
      <c r="G62" s="108"/>
    </row>
    <row r="63">
      <c r="B63" s="23"/>
      <c r="C63" s="23"/>
      <c r="D63" s="23"/>
      <c r="E63" s="23"/>
      <c r="F63" s="23"/>
      <c r="G63" s="108"/>
    </row>
    <row r="64">
      <c r="B64" s="23"/>
      <c r="C64" s="23"/>
      <c r="D64" s="23"/>
      <c r="E64" s="23"/>
      <c r="F64" s="23"/>
      <c r="G64" s="108"/>
    </row>
    <row r="65">
      <c r="B65" s="23"/>
      <c r="C65" s="23"/>
      <c r="D65" s="23"/>
      <c r="E65" s="23"/>
      <c r="F65" s="23"/>
      <c r="G65" s="108"/>
    </row>
    <row r="66">
      <c r="B66" s="23"/>
      <c r="C66" s="23"/>
      <c r="D66" s="23"/>
      <c r="E66" s="23"/>
      <c r="F66" s="23"/>
      <c r="G66" s="108"/>
    </row>
    <row r="67">
      <c r="B67" s="23"/>
      <c r="C67" s="23"/>
      <c r="D67" s="23"/>
      <c r="E67" s="23"/>
      <c r="F67" s="23"/>
      <c r="G67" s="108"/>
    </row>
    <row r="68">
      <c r="B68" s="23"/>
      <c r="C68" s="23"/>
      <c r="D68" s="23"/>
      <c r="E68" s="23"/>
      <c r="F68" s="23"/>
      <c r="G68" s="108"/>
    </row>
    <row r="69">
      <c r="B69" s="23"/>
      <c r="C69" s="23"/>
      <c r="D69" s="23"/>
      <c r="E69" s="23"/>
      <c r="F69" s="23"/>
      <c r="G69" s="108"/>
    </row>
    <row r="70">
      <c r="B70" s="23"/>
      <c r="C70" s="23"/>
      <c r="D70" s="23"/>
      <c r="E70" s="23"/>
      <c r="F70" s="23"/>
      <c r="G70" s="108"/>
    </row>
    <row r="71">
      <c r="B71" s="23"/>
      <c r="C71" s="23"/>
      <c r="D71" s="23"/>
      <c r="E71" s="23"/>
      <c r="F71" s="23"/>
      <c r="G71" s="108"/>
    </row>
    <row r="72">
      <c r="B72" s="23"/>
      <c r="C72" s="23"/>
      <c r="D72" s="23"/>
      <c r="E72" s="23"/>
      <c r="F72" s="23"/>
      <c r="G72" s="108"/>
    </row>
    <row r="73">
      <c r="B73" s="23"/>
      <c r="C73" s="23"/>
      <c r="D73" s="23"/>
      <c r="E73" s="23"/>
      <c r="F73" s="23"/>
      <c r="G73" s="108"/>
    </row>
    <row r="74">
      <c r="B74" s="23"/>
      <c r="C74" s="23"/>
      <c r="D74" s="23"/>
      <c r="E74" s="23"/>
      <c r="F74" s="23"/>
      <c r="G74" s="108"/>
    </row>
    <row r="75">
      <c r="B75" s="23"/>
      <c r="C75" s="23"/>
      <c r="D75" s="23"/>
      <c r="E75" s="23"/>
      <c r="F75" s="23"/>
      <c r="G75" s="108"/>
    </row>
    <row r="76">
      <c r="B76" s="23"/>
      <c r="C76" s="23"/>
      <c r="D76" s="23"/>
      <c r="E76" s="23"/>
      <c r="F76" s="23"/>
      <c r="G76" s="108"/>
    </row>
    <row r="77">
      <c r="B77" s="23"/>
      <c r="C77" s="23"/>
      <c r="D77" s="23"/>
      <c r="E77" s="23"/>
      <c r="F77" s="23"/>
      <c r="G77" s="108"/>
    </row>
    <row r="78">
      <c r="B78" s="23"/>
      <c r="C78" s="23"/>
      <c r="D78" s="23"/>
      <c r="E78" s="23"/>
      <c r="F78" s="23"/>
      <c r="G78" s="108"/>
    </row>
    <row r="79">
      <c r="B79" s="23"/>
      <c r="C79" s="23"/>
      <c r="D79" s="23"/>
      <c r="E79" s="23"/>
      <c r="F79" s="23"/>
      <c r="G79" s="108"/>
    </row>
    <row r="80">
      <c r="B80" s="23"/>
      <c r="C80" s="23"/>
      <c r="D80" s="23"/>
      <c r="E80" s="23"/>
      <c r="F80" s="23"/>
      <c r="G80" s="108"/>
    </row>
    <row r="81">
      <c r="B81" s="23"/>
      <c r="C81" s="23"/>
      <c r="D81" s="23"/>
      <c r="E81" s="23"/>
      <c r="F81" s="23"/>
      <c r="G81" s="108"/>
    </row>
    <row r="82">
      <c r="B82" s="23"/>
      <c r="C82" s="23"/>
      <c r="D82" s="23"/>
      <c r="E82" s="23"/>
      <c r="F82" s="23"/>
      <c r="G82" s="108"/>
    </row>
    <row r="83">
      <c r="B83" s="23"/>
      <c r="C83" s="23"/>
      <c r="D83" s="23"/>
      <c r="E83" s="23"/>
      <c r="F83" s="23"/>
      <c r="G83" s="108"/>
    </row>
    <row r="84">
      <c r="B84" s="23"/>
      <c r="C84" s="23"/>
      <c r="D84" s="23"/>
      <c r="E84" s="23"/>
      <c r="F84" s="23"/>
      <c r="G84" s="108"/>
    </row>
    <row r="85">
      <c r="B85" s="23"/>
      <c r="C85" s="23"/>
      <c r="D85" s="23"/>
      <c r="E85" s="23"/>
      <c r="F85" s="23"/>
      <c r="G85" s="108"/>
    </row>
    <row r="86">
      <c r="B86" s="23"/>
      <c r="C86" s="23"/>
      <c r="D86" s="23"/>
      <c r="E86" s="23"/>
      <c r="F86" s="23"/>
      <c r="G86" s="108"/>
    </row>
    <row r="87">
      <c r="B87" s="23"/>
      <c r="C87" s="23"/>
      <c r="D87" s="23"/>
      <c r="E87" s="23"/>
      <c r="F87" s="23"/>
      <c r="G87" s="108"/>
    </row>
    <row r="88">
      <c r="B88" s="23"/>
      <c r="C88" s="23"/>
      <c r="D88" s="23"/>
      <c r="E88" s="23"/>
      <c r="F88" s="23"/>
      <c r="G88" s="108"/>
    </row>
    <row r="89">
      <c r="B89" s="23"/>
      <c r="C89" s="23"/>
      <c r="D89" s="23"/>
      <c r="E89" s="23"/>
      <c r="F89" s="23"/>
      <c r="G89" s="108"/>
    </row>
    <row r="90">
      <c r="B90" s="23"/>
      <c r="C90" s="23"/>
      <c r="D90" s="23"/>
      <c r="E90" s="23"/>
      <c r="F90" s="23"/>
      <c r="G90" s="108"/>
    </row>
    <row r="91">
      <c r="B91" s="23"/>
      <c r="C91" s="23"/>
      <c r="D91" s="23"/>
      <c r="E91" s="23"/>
      <c r="F91" s="23"/>
      <c r="G91" s="108"/>
    </row>
    <row r="92">
      <c r="B92" s="23"/>
      <c r="C92" s="23"/>
      <c r="D92" s="23"/>
      <c r="E92" s="23"/>
      <c r="F92" s="23"/>
      <c r="G92" s="108"/>
    </row>
    <row r="93">
      <c r="B93" s="23"/>
      <c r="C93" s="23"/>
      <c r="D93" s="23"/>
      <c r="E93" s="23"/>
      <c r="F93" s="23"/>
      <c r="G93" s="108"/>
    </row>
    <row r="94">
      <c r="B94" s="23"/>
      <c r="C94" s="23"/>
      <c r="D94" s="23"/>
      <c r="E94" s="23"/>
      <c r="F94" s="23"/>
      <c r="G94" s="108"/>
    </row>
    <row r="95">
      <c r="B95" s="23"/>
      <c r="C95" s="23"/>
      <c r="D95" s="23"/>
      <c r="E95" s="23"/>
      <c r="F95" s="23"/>
      <c r="G95" s="108"/>
    </row>
    <row r="96">
      <c r="B96" s="23"/>
      <c r="C96" s="23"/>
      <c r="D96" s="23"/>
      <c r="E96" s="23"/>
      <c r="F96" s="23"/>
      <c r="G96" s="108"/>
    </row>
    <row r="97">
      <c r="B97" s="23"/>
      <c r="C97" s="23"/>
      <c r="D97" s="23"/>
      <c r="E97" s="23"/>
      <c r="F97" s="23"/>
      <c r="G97" s="108"/>
    </row>
    <row r="98">
      <c r="B98" s="23"/>
      <c r="C98" s="23"/>
      <c r="D98" s="23"/>
      <c r="E98" s="23"/>
      <c r="F98" s="23"/>
      <c r="G98" s="108"/>
    </row>
    <row r="99">
      <c r="B99" s="23"/>
      <c r="C99" s="23"/>
      <c r="D99" s="23"/>
      <c r="E99" s="23"/>
      <c r="F99" s="23"/>
      <c r="G99" s="108"/>
    </row>
    <row r="100">
      <c r="B100" s="23"/>
      <c r="C100" s="23"/>
      <c r="D100" s="23"/>
      <c r="E100" s="23"/>
      <c r="F100" s="23"/>
      <c r="G100" s="108"/>
    </row>
    <row r="101">
      <c r="B101" s="23"/>
      <c r="C101" s="23"/>
      <c r="D101" s="23"/>
      <c r="E101" s="23"/>
      <c r="F101" s="23"/>
      <c r="G101" s="108"/>
    </row>
    <row r="102">
      <c r="B102" s="23"/>
      <c r="C102" s="23"/>
      <c r="D102" s="23"/>
      <c r="E102" s="23"/>
      <c r="F102" s="23"/>
      <c r="G102" s="108"/>
    </row>
    <row r="103">
      <c r="B103" s="23"/>
      <c r="C103" s="23"/>
      <c r="D103" s="23"/>
      <c r="E103" s="23"/>
      <c r="F103" s="23"/>
      <c r="G103" s="108"/>
    </row>
    <row r="104">
      <c r="B104" s="23"/>
      <c r="C104" s="23"/>
      <c r="D104" s="23"/>
      <c r="E104" s="23"/>
      <c r="F104" s="23"/>
      <c r="G104" s="108"/>
    </row>
    <row r="105">
      <c r="B105" s="23"/>
      <c r="C105" s="23"/>
      <c r="D105" s="23"/>
      <c r="E105" s="23"/>
      <c r="F105" s="23"/>
      <c r="G105" s="108"/>
    </row>
    <row r="106">
      <c r="B106" s="23"/>
      <c r="C106" s="23"/>
      <c r="D106" s="23"/>
      <c r="E106" s="23"/>
      <c r="F106" s="23"/>
      <c r="G106" s="108"/>
    </row>
    <row r="107">
      <c r="B107" s="23"/>
      <c r="C107" s="23"/>
      <c r="D107" s="23"/>
      <c r="E107" s="23"/>
      <c r="F107" s="23"/>
      <c r="G107" s="108"/>
    </row>
    <row r="108">
      <c r="B108" s="23"/>
      <c r="C108" s="23"/>
      <c r="D108" s="23"/>
      <c r="E108" s="23"/>
      <c r="F108" s="23"/>
      <c r="G108" s="108"/>
    </row>
    <row r="109">
      <c r="B109" s="23"/>
      <c r="C109" s="23"/>
      <c r="D109" s="23"/>
      <c r="E109" s="23"/>
      <c r="F109" s="23"/>
      <c r="G109" s="108"/>
    </row>
    <row r="110">
      <c r="B110" s="23"/>
      <c r="C110" s="23"/>
      <c r="D110" s="23"/>
      <c r="E110" s="23"/>
      <c r="F110" s="23"/>
      <c r="G110" s="108"/>
    </row>
    <row r="111">
      <c r="B111" s="23"/>
      <c r="C111" s="23"/>
      <c r="D111" s="23"/>
      <c r="E111" s="23"/>
      <c r="F111" s="23"/>
      <c r="G111" s="108"/>
    </row>
    <row r="112">
      <c r="B112" s="23"/>
      <c r="C112" s="23"/>
      <c r="D112" s="23"/>
      <c r="E112" s="23"/>
      <c r="F112" s="23"/>
      <c r="G112" s="108"/>
    </row>
    <row r="113">
      <c r="B113" s="23"/>
      <c r="C113" s="23"/>
      <c r="D113" s="23"/>
      <c r="E113" s="23"/>
      <c r="F113" s="23"/>
      <c r="G113" s="108"/>
    </row>
    <row r="114">
      <c r="B114" s="23"/>
      <c r="C114" s="23"/>
      <c r="D114" s="23"/>
      <c r="E114" s="23"/>
      <c r="F114" s="23"/>
      <c r="G114" s="108"/>
    </row>
    <row r="115">
      <c r="B115" s="23"/>
      <c r="C115" s="23"/>
      <c r="D115" s="23"/>
      <c r="E115" s="23"/>
      <c r="F115" s="23"/>
      <c r="G115" s="108"/>
    </row>
    <row r="116">
      <c r="B116" s="23"/>
      <c r="C116" s="23"/>
      <c r="D116" s="23"/>
      <c r="E116" s="23"/>
      <c r="F116" s="23"/>
      <c r="G116" s="108"/>
    </row>
    <row r="117">
      <c r="B117" s="23"/>
      <c r="C117" s="23"/>
      <c r="D117" s="23"/>
      <c r="E117" s="23"/>
      <c r="F117" s="23"/>
      <c r="G117" s="108"/>
    </row>
    <row r="118">
      <c r="B118" s="23"/>
      <c r="C118" s="23"/>
      <c r="D118" s="23"/>
      <c r="E118" s="23"/>
      <c r="F118" s="23"/>
      <c r="G118" s="108"/>
    </row>
    <row r="119">
      <c r="B119" s="23"/>
      <c r="C119" s="23"/>
      <c r="D119" s="23"/>
      <c r="E119" s="23"/>
      <c r="F119" s="23"/>
      <c r="G119" s="108"/>
    </row>
    <row r="120">
      <c r="B120" s="23"/>
      <c r="C120" s="23"/>
      <c r="D120" s="23"/>
      <c r="E120" s="23"/>
      <c r="F120" s="23"/>
      <c r="G120" s="108"/>
    </row>
    <row r="121">
      <c r="B121" s="23"/>
      <c r="C121" s="23"/>
      <c r="D121" s="23"/>
      <c r="E121" s="23"/>
      <c r="F121" s="23"/>
      <c r="G121" s="108"/>
    </row>
    <row r="122">
      <c r="B122" s="23"/>
      <c r="C122" s="23"/>
      <c r="D122" s="23"/>
      <c r="E122" s="23"/>
      <c r="F122" s="23"/>
      <c r="G122" s="108"/>
    </row>
    <row r="123">
      <c r="B123" s="23"/>
      <c r="C123" s="23"/>
      <c r="D123" s="23"/>
      <c r="E123" s="23"/>
      <c r="F123" s="23"/>
      <c r="G123" s="108"/>
    </row>
    <row r="124">
      <c r="B124" s="23"/>
      <c r="C124" s="23"/>
      <c r="D124" s="23"/>
      <c r="E124" s="23"/>
      <c r="F124" s="23"/>
      <c r="G124" s="108"/>
    </row>
    <row r="125">
      <c r="B125" s="23"/>
      <c r="C125" s="23"/>
      <c r="D125" s="23"/>
      <c r="E125" s="23"/>
      <c r="F125" s="23"/>
      <c r="G125" s="108"/>
    </row>
    <row r="126">
      <c r="B126" s="23"/>
      <c r="C126" s="23"/>
      <c r="D126" s="23"/>
      <c r="E126" s="23"/>
      <c r="F126" s="23"/>
      <c r="G126" s="108"/>
    </row>
    <row r="127">
      <c r="B127" s="23"/>
      <c r="C127" s="23"/>
      <c r="D127" s="23"/>
      <c r="E127" s="23"/>
      <c r="F127" s="23"/>
      <c r="G127" s="108"/>
    </row>
    <row r="128">
      <c r="B128" s="23"/>
      <c r="C128" s="23"/>
      <c r="D128" s="23"/>
      <c r="E128" s="23"/>
      <c r="F128" s="23"/>
      <c r="G128" s="108"/>
    </row>
    <row r="129">
      <c r="B129" s="23"/>
      <c r="C129" s="23"/>
      <c r="D129" s="23"/>
      <c r="E129" s="23"/>
      <c r="F129" s="23"/>
      <c r="G129" s="108"/>
    </row>
    <row r="130">
      <c r="B130" s="23"/>
      <c r="C130" s="23"/>
      <c r="D130" s="23"/>
      <c r="E130" s="23"/>
      <c r="F130" s="23"/>
      <c r="G130" s="108"/>
    </row>
    <row r="131">
      <c r="B131" s="23"/>
      <c r="C131" s="23"/>
      <c r="D131" s="23"/>
      <c r="E131" s="23"/>
      <c r="F131" s="23"/>
      <c r="G131" s="108"/>
    </row>
    <row r="132">
      <c r="B132" s="23"/>
      <c r="C132" s="23"/>
      <c r="D132" s="23"/>
      <c r="E132" s="23"/>
      <c r="F132" s="23"/>
      <c r="G132" s="108"/>
    </row>
    <row r="133">
      <c r="B133" s="23"/>
      <c r="C133" s="23"/>
      <c r="D133" s="23"/>
      <c r="E133" s="23"/>
      <c r="F133" s="23"/>
      <c r="G133" s="108"/>
    </row>
    <row r="134">
      <c r="B134" s="23"/>
      <c r="C134" s="23"/>
      <c r="D134" s="23"/>
      <c r="E134" s="23"/>
      <c r="F134" s="23"/>
      <c r="G134" s="108"/>
    </row>
    <row r="135">
      <c r="B135" s="23"/>
      <c r="C135" s="23"/>
      <c r="D135" s="23"/>
      <c r="E135" s="23"/>
      <c r="F135" s="23"/>
      <c r="G135" s="108"/>
    </row>
    <row r="136">
      <c r="B136" s="23"/>
      <c r="C136" s="23"/>
      <c r="D136" s="23"/>
      <c r="E136" s="23"/>
      <c r="F136" s="23"/>
      <c r="G136" s="108"/>
    </row>
    <row r="137">
      <c r="B137" s="23"/>
      <c r="C137" s="23"/>
      <c r="D137" s="23"/>
      <c r="E137" s="23"/>
      <c r="F137" s="23"/>
      <c r="G137" s="108"/>
    </row>
    <row r="138">
      <c r="B138" s="23"/>
      <c r="C138" s="23"/>
      <c r="D138" s="23"/>
      <c r="E138" s="23"/>
      <c r="F138" s="23"/>
      <c r="G138" s="108"/>
    </row>
    <row r="139">
      <c r="B139" s="23"/>
      <c r="C139" s="23"/>
      <c r="D139" s="23"/>
      <c r="E139" s="23"/>
      <c r="F139" s="23"/>
      <c r="G139" s="108"/>
    </row>
    <row r="140">
      <c r="B140" s="23"/>
      <c r="C140" s="23"/>
      <c r="D140" s="23"/>
      <c r="E140" s="23"/>
      <c r="F140" s="23"/>
      <c r="G140" s="108"/>
    </row>
    <row r="141">
      <c r="B141" s="23"/>
      <c r="C141" s="23"/>
      <c r="D141" s="23"/>
      <c r="E141" s="23"/>
      <c r="F141" s="23"/>
      <c r="G141" s="108"/>
    </row>
    <row r="142">
      <c r="B142" s="23"/>
      <c r="C142" s="23"/>
      <c r="D142" s="23"/>
      <c r="E142" s="23"/>
      <c r="F142" s="23"/>
      <c r="G142" s="108"/>
    </row>
    <row r="143">
      <c r="B143" s="23"/>
      <c r="C143" s="23"/>
      <c r="D143" s="23"/>
      <c r="E143" s="23"/>
      <c r="F143" s="23"/>
      <c r="G143" s="108"/>
    </row>
    <row r="144">
      <c r="B144" s="23"/>
      <c r="C144" s="23"/>
      <c r="D144" s="23"/>
      <c r="E144" s="23"/>
      <c r="F144" s="23"/>
      <c r="G144" s="108"/>
    </row>
    <row r="145">
      <c r="B145" s="23"/>
      <c r="C145" s="23"/>
      <c r="D145" s="23"/>
      <c r="E145" s="23"/>
      <c r="F145" s="23"/>
      <c r="G145" s="108"/>
    </row>
    <row r="146">
      <c r="B146" s="23"/>
      <c r="C146" s="23"/>
      <c r="D146" s="23"/>
      <c r="E146" s="23"/>
      <c r="F146" s="23"/>
      <c r="G146" s="108"/>
    </row>
    <row r="147">
      <c r="B147" s="23"/>
      <c r="C147" s="23"/>
      <c r="D147" s="23"/>
      <c r="E147" s="23"/>
      <c r="F147" s="23"/>
      <c r="G147" s="108"/>
    </row>
    <row r="148">
      <c r="B148" s="23"/>
      <c r="C148" s="23"/>
      <c r="D148" s="23"/>
      <c r="E148" s="23"/>
      <c r="F148" s="23"/>
      <c r="G148" s="108"/>
    </row>
    <row r="149">
      <c r="B149" s="23"/>
      <c r="C149" s="23"/>
      <c r="D149" s="23"/>
      <c r="E149" s="23"/>
      <c r="F149" s="23"/>
      <c r="G149" s="108"/>
    </row>
    <row r="150">
      <c r="B150" s="23"/>
      <c r="C150" s="23"/>
      <c r="D150" s="23"/>
      <c r="E150" s="23"/>
      <c r="F150" s="23"/>
      <c r="G150" s="108"/>
    </row>
    <row r="151">
      <c r="B151" s="23"/>
      <c r="C151" s="23"/>
      <c r="D151" s="23"/>
      <c r="E151" s="23"/>
      <c r="F151" s="23"/>
      <c r="G151" s="108"/>
    </row>
    <row r="152">
      <c r="B152" s="23"/>
      <c r="C152" s="23"/>
      <c r="D152" s="23"/>
      <c r="E152" s="23"/>
      <c r="F152" s="23"/>
      <c r="G152" s="108"/>
    </row>
    <row r="153">
      <c r="B153" s="23"/>
      <c r="C153" s="23"/>
      <c r="D153" s="23"/>
      <c r="E153" s="23"/>
      <c r="F153" s="23"/>
      <c r="G153" s="108"/>
    </row>
    <row r="154">
      <c r="B154" s="23"/>
      <c r="C154" s="23"/>
      <c r="D154" s="23"/>
      <c r="E154" s="23"/>
      <c r="F154" s="23"/>
      <c r="G154" s="108"/>
    </row>
    <row r="155">
      <c r="B155" s="23"/>
      <c r="C155" s="23"/>
      <c r="D155" s="23"/>
      <c r="E155" s="23"/>
      <c r="F155" s="23"/>
      <c r="G155" s="108"/>
    </row>
    <row r="156">
      <c r="B156" s="23"/>
      <c r="C156" s="23"/>
      <c r="D156" s="23"/>
      <c r="E156" s="23"/>
      <c r="F156" s="23"/>
      <c r="G156" s="108"/>
    </row>
    <row r="157">
      <c r="B157" s="23"/>
      <c r="C157" s="23"/>
      <c r="D157" s="23"/>
      <c r="E157" s="23"/>
      <c r="F157" s="23"/>
      <c r="G157" s="108"/>
    </row>
    <row r="158">
      <c r="B158" s="23"/>
      <c r="C158" s="23"/>
      <c r="D158" s="23"/>
      <c r="E158" s="23"/>
      <c r="F158" s="23"/>
      <c r="G158" s="108"/>
    </row>
    <row r="159">
      <c r="B159" s="23"/>
      <c r="C159" s="23"/>
      <c r="D159" s="23"/>
      <c r="E159" s="23"/>
      <c r="F159" s="23"/>
      <c r="G159" s="108"/>
    </row>
    <row r="160">
      <c r="B160" s="23"/>
      <c r="C160" s="23"/>
      <c r="D160" s="23"/>
      <c r="E160" s="23"/>
      <c r="F160" s="23"/>
      <c r="G160" s="108"/>
    </row>
    <row r="161">
      <c r="B161" s="23"/>
      <c r="C161" s="23"/>
      <c r="D161" s="23"/>
      <c r="E161" s="23"/>
      <c r="F161" s="23"/>
      <c r="G161" s="108"/>
    </row>
    <row r="162">
      <c r="B162" s="23"/>
      <c r="C162" s="23"/>
      <c r="D162" s="23"/>
      <c r="E162" s="23"/>
      <c r="F162" s="23"/>
      <c r="G162" s="108"/>
    </row>
    <row r="163">
      <c r="B163" s="23"/>
      <c r="C163" s="23"/>
      <c r="D163" s="23"/>
      <c r="E163" s="23"/>
      <c r="F163" s="23"/>
      <c r="G163" s="108"/>
    </row>
    <row r="164">
      <c r="B164" s="23"/>
      <c r="C164" s="23"/>
      <c r="D164" s="23"/>
      <c r="E164" s="23"/>
      <c r="F164" s="23"/>
      <c r="G164" s="108"/>
    </row>
    <row r="165">
      <c r="B165" s="23"/>
      <c r="C165" s="23"/>
      <c r="D165" s="23"/>
      <c r="E165" s="23"/>
      <c r="F165" s="23"/>
      <c r="G165" s="108"/>
    </row>
    <row r="166">
      <c r="B166" s="23"/>
      <c r="C166" s="23"/>
      <c r="D166" s="23"/>
      <c r="E166" s="23"/>
      <c r="F166" s="23"/>
      <c r="G166" s="108"/>
    </row>
    <row r="167">
      <c r="B167" s="23"/>
      <c r="C167" s="23"/>
      <c r="D167" s="23"/>
      <c r="E167" s="23"/>
      <c r="F167" s="23"/>
      <c r="G167" s="108"/>
    </row>
    <row r="168">
      <c r="B168" s="23"/>
      <c r="C168" s="23"/>
      <c r="D168" s="23"/>
      <c r="E168" s="23"/>
      <c r="F168" s="23"/>
      <c r="G168" s="108"/>
    </row>
    <row r="169">
      <c r="B169" s="23"/>
      <c r="C169" s="23"/>
      <c r="D169" s="23"/>
      <c r="E169" s="23"/>
      <c r="F169" s="23"/>
      <c r="G169" s="108"/>
    </row>
    <row r="170">
      <c r="B170" s="23"/>
      <c r="C170" s="23"/>
      <c r="D170" s="23"/>
      <c r="E170" s="23"/>
      <c r="F170" s="23"/>
      <c r="G170" s="108"/>
    </row>
    <row r="171">
      <c r="B171" s="23"/>
      <c r="C171" s="23"/>
      <c r="D171" s="23"/>
      <c r="E171" s="23"/>
      <c r="F171" s="23"/>
      <c r="G171" s="108"/>
    </row>
    <row r="172">
      <c r="B172" s="23"/>
      <c r="C172" s="23"/>
      <c r="D172" s="23"/>
      <c r="E172" s="23"/>
      <c r="F172" s="23"/>
      <c r="G172" s="108"/>
    </row>
    <row r="173">
      <c r="B173" s="23"/>
      <c r="C173" s="23"/>
      <c r="D173" s="23"/>
      <c r="E173" s="23"/>
      <c r="F173" s="23"/>
      <c r="G173" s="108"/>
    </row>
    <row r="174">
      <c r="B174" s="23"/>
      <c r="C174" s="23"/>
      <c r="D174" s="23"/>
      <c r="E174" s="23"/>
      <c r="F174" s="23"/>
      <c r="G174" s="108"/>
    </row>
    <row r="175">
      <c r="B175" s="23"/>
      <c r="C175" s="23"/>
      <c r="D175" s="23"/>
      <c r="E175" s="23"/>
      <c r="F175" s="23"/>
      <c r="G175" s="108"/>
    </row>
    <row r="176">
      <c r="B176" s="23"/>
      <c r="C176" s="23"/>
      <c r="D176" s="23"/>
      <c r="E176" s="23"/>
      <c r="F176" s="23"/>
      <c r="G176" s="108"/>
    </row>
    <row r="177">
      <c r="B177" s="23"/>
      <c r="C177" s="23"/>
      <c r="D177" s="23"/>
      <c r="E177" s="23"/>
      <c r="F177" s="23"/>
      <c r="G177" s="108"/>
    </row>
    <row r="178">
      <c r="B178" s="23"/>
      <c r="C178" s="23"/>
      <c r="D178" s="23"/>
      <c r="E178" s="23"/>
      <c r="F178" s="23"/>
      <c r="G178" s="108"/>
    </row>
    <row r="179">
      <c r="B179" s="23"/>
      <c r="C179" s="23"/>
      <c r="D179" s="23"/>
      <c r="E179" s="23"/>
      <c r="F179" s="23"/>
      <c r="G179" s="108"/>
    </row>
    <row r="180">
      <c r="B180" s="23"/>
      <c r="C180" s="23"/>
      <c r="D180" s="23"/>
      <c r="E180" s="23"/>
      <c r="F180" s="23"/>
      <c r="G180" s="108"/>
    </row>
    <row r="181">
      <c r="B181" s="23"/>
      <c r="C181" s="23"/>
      <c r="D181" s="23"/>
      <c r="E181" s="23"/>
      <c r="F181" s="23"/>
      <c r="G181" s="108"/>
    </row>
    <row r="182">
      <c r="B182" s="23"/>
      <c r="C182" s="23"/>
      <c r="D182" s="23"/>
      <c r="E182" s="23"/>
      <c r="F182" s="23"/>
      <c r="G182" s="108"/>
    </row>
    <row r="183">
      <c r="B183" s="23"/>
      <c r="C183" s="23"/>
      <c r="D183" s="23"/>
      <c r="E183" s="23"/>
      <c r="F183" s="23"/>
      <c r="G183" s="108"/>
    </row>
    <row r="184">
      <c r="B184" s="23"/>
      <c r="C184" s="23"/>
      <c r="D184" s="23"/>
      <c r="E184" s="23"/>
      <c r="F184" s="23"/>
      <c r="G184" s="108"/>
    </row>
    <row r="185">
      <c r="B185" s="23"/>
      <c r="C185" s="23"/>
      <c r="D185" s="23"/>
      <c r="E185" s="23"/>
      <c r="F185" s="23"/>
      <c r="G185" s="108"/>
    </row>
    <row r="186">
      <c r="B186" s="23"/>
      <c r="C186" s="23"/>
      <c r="D186" s="23"/>
      <c r="E186" s="23"/>
      <c r="F186" s="23"/>
      <c r="G186" s="108"/>
    </row>
    <row r="187">
      <c r="B187" s="23"/>
      <c r="C187" s="23"/>
      <c r="D187" s="23"/>
      <c r="E187" s="23"/>
      <c r="F187" s="23"/>
      <c r="G187" s="108"/>
    </row>
    <row r="188">
      <c r="B188" s="23"/>
      <c r="C188" s="23"/>
      <c r="D188" s="23"/>
      <c r="E188" s="23"/>
      <c r="F188" s="23"/>
      <c r="G188" s="108"/>
    </row>
    <row r="189">
      <c r="B189" s="23"/>
      <c r="C189" s="23"/>
      <c r="D189" s="23"/>
      <c r="E189" s="23"/>
      <c r="F189" s="23"/>
      <c r="G189" s="108"/>
    </row>
    <row r="190">
      <c r="B190" s="23"/>
      <c r="C190" s="23"/>
      <c r="D190" s="23"/>
      <c r="E190" s="23"/>
      <c r="F190" s="23"/>
      <c r="G190" s="108"/>
    </row>
    <row r="191">
      <c r="B191" s="23"/>
      <c r="C191" s="23"/>
      <c r="D191" s="23"/>
      <c r="E191" s="23"/>
      <c r="F191" s="23"/>
      <c r="G191" s="108"/>
    </row>
    <row r="192">
      <c r="B192" s="23"/>
      <c r="C192" s="23"/>
      <c r="D192" s="23"/>
      <c r="E192" s="23"/>
      <c r="F192" s="23"/>
      <c r="G192" s="108"/>
    </row>
    <row r="193">
      <c r="B193" s="23"/>
      <c r="C193" s="23"/>
      <c r="D193" s="23"/>
      <c r="E193" s="23"/>
      <c r="F193" s="23"/>
      <c r="G193" s="108"/>
    </row>
    <row r="194">
      <c r="B194" s="23"/>
      <c r="C194" s="23"/>
      <c r="D194" s="23"/>
      <c r="E194" s="23"/>
      <c r="F194" s="23"/>
      <c r="G194" s="108"/>
    </row>
    <row r="195">
      <c r="B195" s="23"/>
      <c r="C195" s="23"/>
      <c r="D195" s="23"/>
      <c r="E195" s="23"/>
      <c r="F195" s="23"/>
      <c r="G195" s="108"/>
    </row>
    <row r="196">
      <c r="B196" s="23"/>
      <c r="C196" s="23"/>
      <c r="D196" s="23"/>
      <c r="E196" s="23"/>
      <c r="F196" s="23"/>
      <c r="G196" s="108"/>
    </row>
    <row r="197">
      <c r="B197" s="23"/>
      <c r="C197" s="23"/>
      <c r="D197" s="23"/>
      <c r="E197" s="23"/>
      <c r="F197" s="23"/>
      <c r="G197" s="108"/>
    </row>
    <row r="198">
      <c r="B198" s="23"/>
      <c r="C198" s="23"/>
      <c r="D198" s="23"/>
      <c r="E198" s="23"/>
      <c r="F198" s="23"/>
      <c r="G198" s="108"/>
    </row>
    <row r="199">
      <c r="B199" s="23"/>
      <c r="C199" s="23"/>
      <c r="D199" s="23"/>
      <c r="E199" s="23"/>
      <c r="F199" s="23"/>
      <c r="G199" s="108"/>
    </row>
    <row r="200">
      <c r="B200" s="23"/>
      <c r="C200" s="23"/>
      <c r="D200" s="23"/>
      <c r="E200" s="23"/>
      <c r="F200" s="23"/>
      <c r="G200" s="108"/>
    </row>
    <row r="201">
      <c r="B201" s="23"/>
      <c r="C201" s="23"/>
      <c r="D201" s="23"/>
      <c r="E201" s="23"/>
      <c r="F201" s="23"/>
      <c r="G201" s="108"/>
    </row>
    <row r="202">
      <c r="B202" s="23"/>
      <c r="C202" s="23"/>
      <c r="D202" s="23"/>
      <c r="E202" s="23"/>
      <c r="F202" s="23"/>
      <c r="G202" s="108"/>
    </row>
    <row r="203">
      <c r="B203" s="23"/>
      <c r="C203" s="23"/>
      <c r="D203" s="23"/>
      <c r="E203" s="23"/>
      <c r="F203" s="23"/>
      <c r="G203" s="108"/>
    </row>
    <row r="204">
      <c r="B204" s="23"/>
      <c r="C204" s="23"/>
      <c r="D204" s="23"/>
      <c r="E204" s="23"/>
      <c r="F204" s="23"/>
      <c r="G204" s="108"/>
    </row>
    <row r="205">
      <c r="B205" s="23"/>
      <c r="C205" s="23"/>
      <c r="D205" s="23"/>
      <c r="E205" s="23"/>
      <c r="F205" s="23"/>
      <c r="G205" s="108"/>
    </row>
    <row r="206">
      <c r="B206" s="23"/>
      <c r="C206" s="23"/>
      <c r="D206" s="23"/>
      <c r="E206" s="23"/>
      <c r="F206" s="23"/>
      <c r="G206" s="108"/>
    </row>
    <row r="207">
      <c r="B207" s="23"/>
      <c r="C207" s="23"/>
      <c r="D207" s="23"/>
      <c r="E207" s="23"/>
      <c r="F207" s="23"/>
      <c r="G207" s="108"/>
    </row>
    <row r="208">
      <c r="B208" s="23"/>
      <c r="C208" s="23"/>
      <c r="D208" s="23"/>
      <c r="E208" s="23"/>
      <c r="F208" s="23"/>
      <c r="G208" s="108"/>
    </row>
    <row r="209">
      <c r="B209" s="23"/>
      <c r="C209" s="23"/>
      <c r="D209" s="23"/>
      <c r="E209" s="23"/>
      <c r="F209" s="23"/>
      <c r="G209" s="108"/>
    </row>
    <row r="210">
      <c r="B210" s="23"/>
      <c r="C210" s="23"/>
      <c r="D210" s="23"/>
      <c r="E210" s="23"/>
      <c r="F210" s="23"/>
      <c r="G210" s="108"/>
    </row>
    <row r="211">
      <c r="B211" s="23"/>
      <c r="C211" s="23"/>
      <c r="D211" s="23"/>
      <c r="E211" s="23"/>
      <c r="F211" s="23"/>
      <c r="G211" s="108"/>
    </row>
    <row r="212">
      <c r="B212" s="23"/>
      <c r="C212" s="23"/>
      <c r="D212" s="23"/>
      <c r="E212" s="23"/>
      <c r="F212" s="23"/>
      <c r="G212" s="108"/>
    </row>
    <row r="213">
      <c r="B213" s="23"/>
      <c r="C213" s="23"/>
      <c r="D213" s="23"/>
      <c r="E213" s="23"/>
      <c r="F213" s="23"/>
      <c r="G213" s="108"/>
    </row>
    <row r="214">
      <c r="B214" s="23"/>
      <c r="C214" s="23"/>
      <c r="D214" s="23"/>
      <c r="E214" s="23"/>
      <c r="F214" s="23"/>
      <c r="G214" s="108"/>
    </row>
    <row r="215">
      <c r="B215" s="23"/>
      <c r="C215" s="23"/>
      <c r="D215" s="23"/>
      <c r="E215" s="23"/>
      <c r="F215" s="23"/>
      <c r="G215" s="108"/>
    </row>
    <row r="216">
      <c r="B216" s="23"/>
      <c r="C216" s="23"/>
      <c r="D216" s="23"/>
      <c r="E216" s="23"/>
      <c r="F216" s="23"/>
      <c r="G216" s="108"/>
    </row>
    <row r="217">
      <c r="B217" s="23"/>
      <c r="C217" s="23"/>
      <c r="D217" s="23"/>
      <c r="E217" s="23"/>
      <c r="F217" s="23"/>
      <c r="G217" s="108"/>
    </row>
    <row r="218">
      <c r="B218" s="23"/>
      <c r="C218" s="23"/>
      <c r="D218" s="23"/>
      <c r="E218" s="23"/>
      <c r="F218" s="23"/>
      <c r="G218" s="108"/>
    </row>
    <row r="219">
      <c r="B219" s="23"/>
      <c r="C219" s="23"/>
      <c r="D219" s="23"/>
      <c r="E219" s="23"/>
      <c r="F219" s="23"/>
      <c r="G219" s="108"/>
    </row>
    <row r="220">
      <c r="B220" s="23"/>
      <c r="C220" s="23"/>
      <c r="D220" s="23"/>
      <c r="E220" s="23"/>
      <c r="F220" s="23"/>
      <c r="G220" s="108"/>
    </row>
    <row r="221">
      <c r="B221" s="23"/>
      <c r="C221" s="23"/>
      <c r="D221" s="23"/>
      <c r="E221" s="23"/>
      <c r="F221" s="23"/>
      <c r="G221" s="108"/>
    </row>
    <row r="222">
      <c r="B222" s="23"/>
      <c r="C222" s="23"/>
      <c r="D222" s="23"/>
      <c r="E222" s="23"/>
      <c r="F222" s="23"/>
      <c r="G222" s="108"/>
    </row>
    <row r="223">
      <c r="B223" s="23"/>
      <c r="C223" s="23"/>
      <c r="D223" s="23"/>
      <c r="E223" s="23"/>
      <c r="F223" s="23"/>
      <c r="G223" s="108"/>
    </row>
    <row r="224">
      <c r="B224" s="23"/>
      <c r="C224" s="23"/>
      <c r="D224" s="23"/>
      <c r="E224" s="23"/>
      <c r="F224" s="23"/>
      <c r="G224" s="108"/>
    </row>
    <row r="225">
      <c r="B225" s="23"/>
      <c r="C225" s="23"/>
      <c r="D225" s="23"/>
      <c r="E225" s="23"/>
      <c r="F225" s="23"/>
      <c r="G225" s="108"/>
    </row>
    <row r="226">
      <c r="B226" s="23"/>
      <c r="C226" s="23"/>
      <c r="D226" s="23"/>
      <c r="E226" s="23"/>
      <c r="F226" s="23"/>
      <c r="G226" s="108"/>
    </row>
    <row r="227">
      <c r="B227" s="23"/>
      <c r="C227" s="23"/>
      <c r="D227" s="23"/>
      <c r="E227" s="23"/>
      <c r="F227" s="23"/>
      <c r="G227" s="108"/>
    </row>
    <row r="228">
      <c r="B228" s="23"/>
      <c r="C228" s="23"/>
      <c r="D228" s="23"/>
      <c r="E228" s="23"/>
      <c r="F228" s="23"/>
      <c r="G228" s="108"/>
    </row>
    <row r="229">
      <c r="B229" s="23"/>
      <c r="C229" s="23"/>
      <c r="D229" s="23"/>
      <c r="E229" s="23"/>
      <c r="F229" s="23"/>
      <c r="G229" s="108"/>
    </row>
    <row r="230">
      <c r="B230" s="23"/>
      <c r="C230" s="23"/>
      <c r="D230" s="23"/>
      <c r="E230" s="23"/>
      <c r="F230" s="23"/>
      <c r="G230" s="108"/>
    </row>
    <row r="231">
      <c r="B231" s="23"/>
      <c r="C231" s="23"/>
      <c r="D231" s="23"/>
      <c r="E231" s="23"/>
      <c r="F231" s="23"/>
      <c r="G231" s="108"/>
    </row>
    <row r="232">
      <c r="B232" s="23"/>
      <c r="C232" s="23"/>
      <c r="D232" s="23"/>
      <c r="E232" s="23"/>
      <c r="F232" s="23"/>
      <c r="G232" s="108"/>
    </row>
    <row r="233">
      <c r="B233" s="23"/>
      <c r="C233" s="23"/>
      <c r="D233" s="23"/>
      <c r="E233" s="23"/>
      <c r="F233" s="23"/>
      <c r="G233" s="108"/>
    </row>
    <row r="234">
      <c r="B234" s="23"/>
      <c r="C234" s="23"/>
      <c r="D234" s="23"/>
      <c r="E234" s="23"/>
      <c r="F234" s="23"/>
      <c r="G234" s="108"/>
    </row>
    <row r="235">
      <c r="B235" s="23"/>
      <c r="C235" s="23"/>
      <c r="D235" s="23"/>
      <c r="E235" s="23"/>
      <c r="F235" s="23"/>
      <c r="G235" s="108"/>
    </row>
    <row r="236">
      <c r="B236" s="23"/>
      <c r="C236" s="23"/>
      <c r="D236" s="23"/>
      <c r="E236" s="23"/>
      <c r="F236" s="23"/>
      <c r="G236" s="108"/>
    </row>
    <row r="237">
      <c r="B237" s="23"/>
      <c r="C237" s="23"/>
      <c r="D237" s="23"/>
      <c r="E237" s="23"/>
      <c r="F237" s="23"/>
      <c r="G237" s="108"/>
    </row>
    <row r="238">
      <c r="B238" s="23"/>
      <c r="C238" s="23"/>
      <c r="D238" s="23"/>
      <c r="E238" s="23"/>
      <c r="F238" s="23"/>
      <c r="G238" s="108"/>
    </row>
    <row r="239">
      <c r="B239" s="23"/>
      <c r="C239" s="23"/>
      <c r="D239" s="23"/>
      <c r="E239" s="23"/>
      <c r="F239" s="23"/>
      <c r="G239" s="108"/>
    </row>
    <row r="240">
      <c r="B240" s="23"/>
      <c r="C240" s="23"/>
      <c r="D240" s="23"/>
      <c r="E240" s="23"/>
      <c r="F240" s="23"/>
      <c r="G240" s="108"/>
    </row>
    <row r="241">
      <c r="B241" s="23"/>
      <c r="C241" s="23"/>
      <c r="D241" s="23"/>
      <c r="E241" s="23"/>
      <c r="F241" s="23"/>
      <c r="G241" s="108"/>
    </row>
    <row r="242">
      <c r="B242" s="23"/>
      <c r="C242" s="23"/>
      <c r="D242" s="23"/>
      <c r="E242" s="23"/>
      <c r="F242" s="23"/>
      <c r="G242" s="108"/>
    </row>
    <row r="243">
      <c r="B243" s="23"/>
      <c r="C243" s="23"/>
      <c r="D243" s="23"/>
      <c r="E243" s="23"/>
      <c r="F243" s="23"/>
      <c r="G243" s="108"/>
    </row>
    <row r="244">
      <c r="B244" s="23"/>
      <c r="C244" s="23"/>
      <c r="D244" s="23"/>
      <c r="E244" s="23"/>
      <c r="F244" s="23"/>
      <c r="G244" s="108"/>
    </row>
    <row r="245">
      <c r="B245" s="23"/>
      <c r="C245" s="23"/>
      <c r="D245" s="23"/>
      <c r="E245" s="23"/>
      <c r="F245" s="23"/>
      <c r="G245" s="108"/>
    </row>
    <row r="246">
      <c r="B246" s="23"/>
      <c r="C246" s="23"/>
      <c r="D246" s="23"/>
      <c r="E246" s="23"/>
      <c r="F246" s="23"/>
      <c r="G246" s="108"/>
    </row>
    <row r="247">
      <c r="B247" s="23"/>
      <c r="C247" s="23"/>
      <c r="D247" s="23"/>
      <c r="E247" s="23"/>
      <c r="F247" s="23"/>
      <c r="G247" s="108"/>
    </row>
    <row r="248">
      <c r="B248" s="23"/>
      <c r="C248" s="23"/>
      <c r="D248" s="23"/>
      <c r="E248" s="23"/>
      <c r="F248" s="23"/>
      <c r="G248" s="108"/>
    </row>
    <row r="249">
      <c r="B249" s="23"/>
      <c r="C249" s="23"/>
      <c r="D249" s="23"/>
      <c r="E249" s="23"/>
      <c r="F249" s="23"/>
      <c r="G249" s="108"/>
    </row>
    <row r="250">
      <c r="B250" s="23"/>
      <c r="C250" s="23"/>
      <c r="D250" s="23"/>
      <c r="E250" s="23"/>
      <c r="F250" s="23"/>
      <c r="G250" s="108"/>
    </row>
    <row r="251">
      <c r="B251" s="23"/>
      <c r="C251" s="23"/>
      <c r="D251" s="23"/>
      <c r="E251" s="23"/>
      <c r="F251" s="23"/>
      <c r="G251" s="108"/>
    </row>
    <row r="252">
      <c r="B252" s="23"/>
      <c r="C252" s="23"/>
      <c r="D252" s="23"/>
      <c r="E252" s="23"/>
      <c r="F252" s="23"/>
      <c r="G252" s="108"/>
    </row>
    <row r="253">
      <c r="B253" s="23"/>
      <c r="C253" s="23"/>
      <c r="D253" s="23"/>
      <c r="E253" s="23"/>
      <c r="F253" s="23"/>
      <c r="G253" s="108"/>
    </row>
    <row r="254">
      <c r="B254" s="23"/>
      <c r="C254" s="23"/>
      <c r="D254" s="23"/>
      <c r="E254" s="23"/>
      <c r="F254" s="23"/>
      <c r="G254" s="108"/>
    </row>
    <row r="255">
      <c r="B255" s="23"/>
      <c r="C255" s="23"/>
      <c r="D255" s="23"/>
      <c r="E255" s="23"/>
      <c r="F255" s="23"/>
      <c r="G255" s="108"/>
    </row>
    <row r="256">
      <c r="B256" s="23"/>
      <c r="C256" s="23"/>
      <c r="D256" s="23"/>
      <c r="E256" s="23"/>
      <c r="F256" s="23"/>
      <c r="G256" s="108"/>
    </row>
    <row r="257">
      <c r="B257" s="23"/>
      <c r="C257" s="23"/>
      <c r="D257" s="23"/>
      <c r="E257" s="23"/>
      <c r="F257" s="23"/>
      <c r="G257" s="108"/>
    </row>
    <row r="258">
      <c r="B258" s="23"/>
      <c r="C258" s="23"/>
      <c r="D258" s="23"/>
      <c r="E258" s="23"/>
      <c r="F258" s="23"/>
      <c r="G258" s="108"/>
    </row>
    <row r="259">
      <c r="B259" s="23"/>
      <c r="C259" s="23"/>
      <c r="D259" s="23"/>
      <c r="E259" s="23"/>
      <c r="F259" s="23"/>
      <c r="G259" s="108"/>
    </row>
    <row r="260">
      <c r="B260" s="23"/>
      <c r="C260" s="23"/>
      <c r="D260" s="23"/>
      <c r="E260" s="23"/>
      <c r="F260" s="23"/>
      <c r="G260" s="108"/>
    </row>
    <row r="261">
      <c r="B261" s="23"/>
      <c r="C261" s="23"/>
      <c r="D261" s="23"/>
      <c r="E261" s="23"/>
      <c r="F261" s="23"/>
      <c r="G261" s="108"/>
    </row>
    <row r="262">
      <c r="B262" s="23"/>
      <c r="C262" s="23"/>
      <c r="D262" s="23"/>
      <c r="E262" s="23"/>
      <c r="F262" s="23"/>
      <c r="G262" s="108"/>
    </row>
    <row r="263">
      <c r="B263" s="23"/>
      <c r="C263" s="23"/>
      <c r="D263" s="23"/>
      <c r="E263" s="23"/>
      <c r="F263" s="23"/>
      <c r="G263" s="108"/>
    </row>
    <row r="264">
      <c r="B264" s="23"/>
      <c r="C264" s="23"/>
      <c r="D264" s="23"/>
      <c r="E264" s="23"/>
      <c r="F264" s="23"/>
      <c r="G264" s="108"/>
    </row>
    <row r="265">
      <c r="B265" s="23"/>
      <c r="C265" s="23"/>
      <c r="D265" s="23"/>
      <c r="E265" s="23"/>
      <c r="F265" s="23"/>
      <c r="G265" s="108"/>
    </row>
    <row r="266">
      <c r="B266" s="23"/>
      <c r="C266" s="23"/>
      <c r="D266" s="23"/>
      <c r="E266" s="23"/>
      <c r="F266" s="23"/>
      <c r="G266" s="108"/>
    </row>
    <row r="267">
      <c r="B267" s="23"/>
      <c r="C267" s="23"/>
      <c r="D267" s="23"/>
      <c r="E267" s="23"/>
      <c r="F267" s="23"/>
      <c r="G267" s="108"/>
    </row>
    <row r="268">
      <c r="B268" s="23"/>
      <c r="C268" s="23"/>
      <c r="D268" s="23"/>
      <c r="E268" s="23"/>
      <c r="F268" s="23"/>
      <c r="G268" s="108"/>
    </row>
    <row r="269">
      <c r="B269" s="23"/>
      <c r="C269" s="23"/>
      <c r="D269" s="23"/>
      <c r="E269" s="23"/>
      <c r="F269" s="23"/>
      <c r="G269" s="108"/>
    </row>
    <row r="270">
      <c r="B270" s="23"/>
      <c r="C270" s="23"/>
      <c r="D270" s="23"/>
      <c r="E270" s="23"/>
      <c r="F270" s="23"/>
      <c r="G270" s="108"/>
    </row>
    <row r="271">
      <c r="B271" s="23"/>
      <c r="C271" s="23"/>
      <c r="D271" s="23"/>
      <c r="E271" s="23"/>
      <c r="F271" s="23"/>
      <c r="G271" s="108"/>
    </row>
    <row r="272">
      <c r="B272" s="23"/>
      <c r="C272" s="23"/>
      <c r="D272" s="23"/>
      <c r="E272" s="23"/>
      <c r="F272" s="23"/>
      <c r="G272" s="108"/>
    </row>
    <row r="273">
      <c r="B273" s="23"/>
      <c r="C273" s="23"/>
      <c r="D273" s="23"/>
      <c r="E273" s="23"/>
      <c r="F273" s="23"/>
      <c r="G273" s="108"/>
    </row>
    <row r="274">
      <c r="B274" s="23"/>
      <c r="C274" s="23"/>
      <c r="D274" s="23"/>
      <c r="E274" s="23"/>
      <c r="F274" s="23"/>
      <c r="G274" s="108"/>
    </row>
    <row r="275">
      <c r="B275" s="23"/>
      <c r="C275" s="23"/>
      <c r="D275" s="23"/>
      <c r="E275" s="23"/>
      <c r="F275" s="23"/>
      <c r="G275" s="108"/>
    </row>
    <row r="276">
      <c r="B276" s="23"/>
      <c r="C276" s="23"/>
      <c r="D276" s="23"/>
      <c r="E276" s="23"/>
      <c r="F276" s="23"/>
      <c r="G276" s="108"/>
    </row>
    <row r="277">
      <c r="B277" s="23"/>
      <c r="C277" s="23"/>
      <c r="D277" s="23"/>
      <c r="E277" s="23"/>
      <c r="F277" s="23"/>
      <c r="G277" s="108"/>
    </row>
    <row r="278">
      <c r="B278" s="23"/>
      <c r="C278" s="23"/>
      <c r="D278" s="23"/>
      <c r="E278" s="23"/>
      <c r="F278" s="23"/>
      <c r="G278" s="108"/>
    </row>
    <row r="279">
      <c r="B279" s="23"/>
      <c r="C279" s="23"/>
      <c r="D279" s="23"/>
      <c r="E279" s="23"/>
      <c r="F279" s="23"/>
      <c r="G279" s="108"/>
    </row>
    <row r="280">
      <c r="B280" s="23"/>
      <c r="C280" s="23"/>
      <c r="D280" s="23"/>
      <c r="E280" s="23"/>
      <c r="F280" s="23"/>
      <c r="G280" s="108"/>
    </row>
    <row r="281">
      <c r="B281" s="23"/>
      <c r="C281" s="23"/>
      <c r="D281" s="23"/>
      <c r="E281" s="23"/>
      <c r="F281" s="23"/>
      <c r="G281" s="108"/>
    </row>
    <row r="282">
      <c r="B282" s="23"/>
      <c r="C282" s="23"/>
      <c r="D282" s="23"/>
      <c r="E282" s="23"/>
      <c r="F282" s="23"/>
      <c r="G282" s="108"/>
    </row>
    <row r="283">
      <c r="B283" s="23"/>
      <c r="C283" s="23"/>
      <c r="D283" s="23"/>
      <c r="E283" s="23"/>
      <c r="F283" s="23"/>
      <c r="G283" s="108"/>
    </row>
    <row r="284">
      <c r="B284" s="23"/>
      <c r="C284" s="23"/>
      <c r="D284" s="23"/>
      <c r="E284" s="23"/>
      <c r="F284" s="23"/>
      <c r="G284" s="108"/>
    </row>
    <row r="285">
      <c r="B285" s="23"/>
      <c r="C285" s="23"/>
      <c r="D285" s="23"/>
      <c r="E285" s="23"/>
      <c r="F285" s="23"/>
      <c r="G285" s="108"/>
    </row>
    <row r="286">
      <c r="B286" s="23"/>
      <c r="C286" s="23"/>
      <c r="D286" s="23"/>
      <c r="E286" s="23"/>
      <c r="F286" s="23"/>
      <c r="G286" s="108"/>
    </row>
    <row r="287">
      <c r="B287" s="23"/>
      <c r="C287" s="23"/>
      <c r="D287" s="23"/>
      <c r="E287" s="23"/>
      <c r="F287" s="23"/>
      <c r="G287" s="108"/>
    </row>
    <row r="288">
      <c r="B288" s="23"/>
      <c r="C288" s="23"/>
      <c r="D288" s="23"/>
      <c r="E288" s="23"/>
      <c r="F288" s="23"/>
      <c r="G288" s="108"/>
    </row>
    <row r="289">
      <c r="B289" s="23"/>
      <c r="C289" s="23"/>
      <c r="D289" s="23"/>
      <c r="E289" s="23"/>
      <c r="F289" s="23"/>
      <c r="G289" s="108"/>
    </row>
    <row r="290">
      <c r="B290" s="23"/>
      <c r="C290" s="23"/>
      <c r="D290" s="23"/>
      <c r="E290" s="23"/>
      <c r="F290" s="23"/>
      <c r="G290" s="108"/>
    </row>
    <row r="291">
      <c r="B291" s="23"/>
      <c r="C291" s="23"/>
      <c r="D291" s="23"/>
      <c r="E291" s="23"/>
      <c r="F291" s="23"/>
      <c r="G291" s="108"/>
    </row>
    <row r="292">
      <c r="B292" s="23"/>
      <c r="C292" s="23"/>
      <c r="D292" s="23"/>
      <c r="E292" s="23"/>
      <c r="F292" s="23"/>
      <c r="G292" s="108"/>
    </row>
    <row r="293">
      <c r="B293" s="23"/>
      <c r="C293" s="23"/>
      <c r="D293" s="23"/>
      <c r="E293" s="23"/>
      <c r="F293" s="23"/>
      <c r="G293" s="108"/>
    </row>
    <row r="294">
      <c r="B294" s="23"/>
      <c r="C294" s="23"/>
      <c r="D294" s="23"/>
      <c r="E294" s="23"/>
      <c r="F294" s="23"/>
      <c r="G294" s="108"/>
    </row>
    <row r="295">
      <c r="B295" s="23"/>
      <c r="C295" s="23"/>
      <c r="D295" s="23"/>
      <c r="E295" s="23"/>
      <c r="F295" s="23"/>
      <c r="G295" s="108"/>
    </row>
    <row r="296">
      <c r="B296" s="23"/>
      <c r="C296" s="23"/>
      <c r="D296" s="23"/>
      <c r="E296" s="23"/>
      <c r="F296" s="23"/>
      <c r="G296" s="108"/>
    </row>
    <row r="297">
      <c r="B297" s="23"/>
      <c r="C297" s="23"/>
      <c r="D297" s="23"/>
      <c r="E297" s="23"/>
      <c r="F297" s="23"/>
      <c r="G297" s="108"/>
    </row>
    <row r="298">
      <c r="B298" s="23"/>
      <c r="C298" s="23"/>
      <c r="D298" s="23"/>
      <c r="E298" s="23"/>
      <c r="F298" s="23"/>
      <c r="G298" s="108"/>
    </row>
    <row r="299">
      <c r="B299" s="23"/>
      <c r="C299" s="23"/>
      <c r="D299" s="23"/>
      <c r="E299" s="23"/>
      <c r="F299" s="23"/>
      <c r="G299" s="108"/>
    </row>
    <row r="300">
      <c r="B300" s="23"/>
      <c r="C300" s="23"/>
      <c r="D300" s="23"/>
      <c r="E300" s="23"/>
      <c r="F300" s="23"/>
      <c r="G300" s="108"/>
    </row>
    <row r="301">
      <c r="B301" s="23"/>
      <c r="C301" s="23"/>
      <c r="D301" s="23"/>
      <c r="E301" s="23"/>
      <c r="F301" s="23"/>
      <c r="G301" s="108"/>
    </row>
    <row r="302">
      <c r="B302" s="23"/>
      <c r="C302" s="23"/>
      <c r="D302" s="23"/>
      <c r="E302" s="23"/>
      <c r="F302" s="23"/>
      <c r="G302" s="108"/>
    </row>
    <row r="303">
      <c r="B303" s="23"/>
      <c r="C303" s="23"/>
      <c r="D303" s="23"/>
      <c r="E303" s="23"/>
      <c r="F303" s="23"/>
      <c r="G303" s="108"/>
    </row>
    <row r="304">
      <c r="B304" s="23"/>
      <c r="C304" s="23"/>
      <c r="D304" s="23"/>
      <c r="E304" s="23"/>
      <c r="F304" s="23"/>
      <c r="G304" s="108"/>
    </row>
    <row r="305">
      <c r="B305" s="23"/>
      <c r="C305" s="23"/>
      <c r="D305" s="23"/>
      <c r="E305" s="23"/>
      <c r="F305" s="23"/>
      <c r="G305" s="108"/>
    </row>
    <row r="306">
      <c r="B306" s="23"/>
      <c r="C306" s="23"/>
      <c r="D306" s="23"/>
      <c r="E306" s="23"/>
      <c r="F306" s="23"/>
      <c r="G306" s="108"/>
    </row>
    <row r="307">
      <c r="B307" s="23"/>
      <c r="C307" s="23"/>
      <c r="D307" s="23"/>
      <c r="E307" s="23"/>
      <c r="F307" s="23"/>
      <c r="G307" s="108"/>
    </row>
    <row r="308">
      <c r="B308" s="23"/>
      <c r="C308" s="23"/>
      <c r="D308" s="23"/>
      <c r="E308" s="23"/>
      <c r="F308" s="23"/>
      <c r="G308" s="108"/>
    </row>
    <row r="309">
      <c r="B309" s="23"/>
      <c r="C309" s="23"/>
      <c r="D309" s="23"/>
      <c r="E309" s="23"/>
      <c r="F309" s="23"/>
      <c r="G309" s="108"/>
    </row>
    <row r="310">
      <c r="B310" s="23"/>
      <c r="C310" s="23"/>
      <c r="D310" s="23"/>
      <c r="E310" s="23"/>
      <c r="F310" s="23"/>
      <c r="G310" s="108"/>
    </row>
    <row r="311">
      <c r="B311" s="23"/>
      <c r="C311" s="23"/>
      <c r="D311" s="23"/>
      <c r="E311" s="23"/>
      <c r="F311" s="23"/>
      <c r="G311" s="108"/>
    </row>
    <row r="312">
      <c r="B312" s="23"/>
      <c r="C312" s="23"/>
      <c r="D312" s="23"/>
      <c r="E312" s="23"/>
      <c r="F312" s="23"/>
      <c r="G312" s="108"/>
    </row>
    <row r="313">
      <c r="B313" s="23"/>
      <c r="C313" s="23"/>
      <c r="D313" s="23"/>
      <c r="E313" s="23"/>
      <c r="F313" s="23"/>
      <c r="G313" s="108"/>
    </row>
    <row r="314">
      <c r="B314" s="23"/>
      <c r="C314" s="23"/>
      <c r="D314" s="23"/>
      <c r="E314" s="23"/>
      <c r="F314" s="23"/>
      <c r="G314" s="108"/>
    </row>
    <row r="315">
      <c r="B315" s="23"/>
      <c r="C315" s="23"/>
      <c r="D315" s="23"/>
      <c r="E315" s="23"/>
      <c r="F315" s="23"/>
      <c r="G315" s="108"/>
    </row>
    <row r="316">
      <c r="B316" s="23"/>
      <c r="C316" s="23"/>
      <c r="D316" s="23"/>
      <c r="E316" s="23"/>
      <c r="F316" s="23"/>
      <c r="G316" s="108"/>
    </row>
    <row r="317">
      <c r="B317" s="23"/>
      <c r="C317" s="23"/>
      <c r="D317" s="23"/>
      <c r="E317" s="23"/>
      <c r="F317" s="23"/>
      <c r="G317" s="108"/>
    </row>
    <row r="318">
      <c r="B318" s="23"/>
      <c r="C318" s="23"/>
      <c r="D318" s="23"/>
      <c r="E318" s="23"/>
      <c r="F318" s="23"/>
      <c r="G318" s="108"/>
    </row>
    <row r="319">
      <c r="B319" s="23"/>
      <c r="C319" s="23"/>
      <c r="D319" s="23"/>
      <c r="E319" s="23"/>
      <c r="F319" s="23"/>
      <c r="G319" s="108"/>
    </row>
    <row r="320">
      <c r="B320" s="23"/>
      <c r="C320" s="23"/>
      <c r="D320" s="23"/>
      <c r="E320" s="23"/>
      <c r="F320" s="23"/>
      <c r="G320" s="108"/>
    </row>
    <row r="321">
      <c r="B321" s="23"/>
      <c r="C321" s="23"/>
      <c r="D321" s="23"/>
      <c r="E321" s="23"/>
      <c r="F321" s="23"/>
      <c r="G321" s="108"/>
    </row>
    <row r="322">
      <c r="B322" s="23"/>
      <c r="C322" s="23"/>
      <c r="D322" s="23"/>
      <c r="E322" s="23"/>
      <c r="F322" s="23"/>
      <c r="G322" s="108"/>
    </row>
    <row r="323">
      <c r="B323" s="23"/>
      <c r="C323" s="23"/>
      <c r="D323" s="23"/>
      <c r="E323" s="23"/>
      <c r="F323" s="23"/>
      <c r="G323" s="108"/>
    </row>
    <row r="324">
      <c r="B324" s="23"/>
      <c r="C324" s="23"/>
      <c r="D324" s="23"/>
      <c r="E324" s="23"/>
      <c r="F324" s="23"/>
      <c r="G324" s="108"/>
    </row>
    <row r="325">
      <c r="B325" s="23"/>
      <c r="C325" s="23"/>
      <c r="D325" s="23"/>
      <c r="E325" s="23"/>
      <c r="F325" s="23"/>
      <c r="G325" s="108"/>
    </row>
    <row r="326">
      <c r="B326" s="23"/>
      <c r="C326" s="23"/>
      <c r="D326" s="23"/>
      <c r="E326" s="23"/>
      <c r="F326" s="23"/>
      <c r="G326" s="108"/>
    </row>
    <row r="327">
      <c r="B327" s="23"/>
      <c r="C327" s="23"/>
      <c r="D327" s="23"/>
      <c r="E327" s="23"/>
      <c r="F327" s="23"/>
      <c r="G327" s="108"/>
    </row>
    <row r="328">
      <c r="B328" s="23"/>
      <c r="C328" s="23"/>
      <c r="D328" s="23"/>
      <c r="E328" s="23"/>
      <c r="F328" s="23"/>
      <c r="G328" s="108"/>
    </row>
    <row r="329">
      <c r="B329" s="23"/>
      <c r="C329" s="23"/>
      <c r="D329" s="23"/>
      <c r="E329" s="23"/>
      <c r="F329" s="23"/>
      <c r="G329" s="108"/>
    </row>
    <row r="330">
      <c r="B330" s="23"/>
      <c r="C330" s="23"/>
      <c r="D330" s="23"/>
      <c r="E330" s="23"/>
      <c r="F330" s="23"/>
      <c r="G330" s="108"/>
    </row>
    <row r="331">
      <c r="B331" s="23"/>
      <c r="C331" s="23"/>
      <c r="D331" s="23"/>
      <c r="E331" s="23"/>
      <c r="F331" s="23"/>
      <c r="G331" s="108"/>
    </row>
    <row r="332">
      <c r="B332" s="23"/>
      <c r="C332" s="23"/>
      <c r="D332" s="23"/>
      <c r="E332" s="23"/>
      <c r="F332" s="23"/>
      <c r="G332" s="108"/>
    </row>
    <row r="333">
      <c r="B333" s="23"/>
      <c r="C333" s="23"/>
      <c r="D333" s="23"/>
      <c r="E333" s="23"/>
      <c r="F333" s="23"/>
      <c r="G333" s="108"/>
    </row>
    <row r="334">
      <c r="B334" s="23"/>
      <c r="C334" s="23"/>
      <c r="D334" s="23"/>
      <c r="E334" s="23"/>
      <c r="F334" s="23"/>
      <c r="G334" s="108"/>
    </row>
    <row r="335">
      <c r="B335" s="23"/>
      <c r="C335" s="23"/>
      <c r="D335" s="23"/>
      <c r="E335" s="23"/>
      <c r="F335" s="23"/>
      <c r="G335" s="108"/>
    </row>
    <row r="336">
      <c r="B336" s="23"/>
      <c r="C336" s="23"/>
      <c r="D336" s="23"/>
      <c r="E336" s="23"/>
      <c r="F336" s="23"/>
      <c r="G336" s="108"/>
    </row>
    <row r="337">
      <c r="B337" s="23"/>
      <c r="C337" s="23"/>
      <c r="D337" s="23"/>
      <c r="E337" s="23"/>
      <c r="F337" s="23"/>
      <c r="G337" s="108"/>
    </row>
    <row r="338">
      <c r="B338" s="23"/>
      <c r="C338" s="23"/>
      <c r="D338" s="23"/>
      <c r="E338" s="23"/>
      <c r="F338" s="23"/>
      <c r="G338" s="108"/>
    </row>
    <row r="339">
      <c r="B339" s="23"/>
      <c r="C339" s="23"/>
      <c r="D339" s="23"/>
      <c r="E339" s="23"/>
      <c r="F339" s="23"/>
      <c r="G339" s="108"/>
    </row>
    <row r="340">
      <c r="B340" s="23"/>
      <c r="C340" s="23"/>
      <c r="D340" s="23"/>
      <c r="E340" s="23"/>
      <c r="F340" s="23"/>
      <c r="G340" s="108"/>
    </row>
    <row r="341">
      <c r="B341" s="23"/>
      <c r="C341" s="23"/>
      <c r="D341" s="23"/>
      <c r="E341" s="23"/>
      <c r="F341" s="23"/>
      <c r="G341" s="108"/>
    </row>
    <row r="342">
      <c r="B342" s="23"/>
      <c r="C342" s="23"/>
      <c r="D342" s="23"/>
      <c r="E342" s="23"/>
      <c r="F342" s="23"/>
      <c r="G342" s="108"/>
    </row>
    <row r="343">
      <c r="B343" s="23"/>
      <c r="C343" s="23"/>
      <c r="D343" s="23"/>
      <c r="E343" s="23"/>
      <c r="F343" s="23"/>
      <c r="G343" s="108"/>
    </row>
    <row r="344">
      <c r="B344" s="23"/>
      <c r="C344" s="23"/>
      <c r="D344" s="23"/>
      <c r="E344" s="23"/>
      <c r="F344" s="23"/>
      <c r="G344" s="108"/>
    </row>
    <row r="345">
      <c r="B345" s="23"/>
      <c r="C345" s="23"/>
      <c r="D345" s="23"/>
      <c r="E345" s="23"/>
      <c r="F345" s="23"/>
      <c r="G345" s="108"/>
    </row>
    <row r="346">
      <c r="B346" s="23"/>
      <c r="C346" s="23"/>
      <c r="D346" s="23"/>
      <c r="E346" s="23"/>
      <c r="F346" s="23"/>
      <c r="G346" s="108"/>
    </row>
    <row r="347">
      <c r="B347" s="23"/>
      <c r="C347" s="23"/>
      <c r="D347" s="23"/>
      <c r="E347" s="23"/>
      <c r="F347" s="23"/>
      <c r="G347" s="108"/>
    </row>
    <row r="348">
      <c r="B348" s="23"/>
      <c r="C348" s="23"/>
      <c r="D348" s="23"/>
      <c r="E348" s="23"/>
      <c r="F348" s="23"/>
      <c r="G348" s="108"/>
    </row>
    <row r="349">
      <c r="B349" s="23"/>
      <c r="C349" s="23"/>
      <c r="D349" s="23"/>
      <c r="E349" s="23"/>
      <c r="F349" s="23"/>
      <c r="G349" s="108"/>
    </row>
    <row r="350">
      <c r="B350" s="23"/>
      <c r="C350" s="23"/>
      <c r="D350" s="23"/>
      <c r="E350" s="23"/>
      <c r="F350" s="23"/>
      <c r="G350" s="108"/>
    </row>
    <row r="351">
      <c r="B351" s="23"/>
      <c r="C351" s="23"/>
      <c r="D351" s="23"/>
      <c r="E351" s="23"/>
      <c r="F351" s="23"/>
      <c r="G351" s="108"/>
    </row>
    <row r="352">
      <c r="B352" s="23"/>
      <c r="C352" s="23"/>
      <c r="D352" s="23"/>
      <c r="E352" s="23"/>
      <c r="F352" s="23"/>
      <c r="G352" s="108"/>
    </row>
    <row r="353">
      <c r="B353" s="23"/>
      <c r="C353" s="23"/>
      <c r="D353" s="23"/>
      <c r="E353" s="23"/>
      <c r="F353" s="23"/>
      <c r="G353" s="108"/>
    </row>
    <row r="354">
      <c r="B354" s="23"/>
      <c r="C354" s="23"/>
      <c r="D354" s="23"/>
      <c r="E354" s="23"/>
      <c r="F354" s="23"/>
      <c r="G354" s="108"/>
    </row>
    <row r="355">
      <c r="B355" s="23"/>
      <c r="C355" s="23"/>
      <c r="D355" s="23"/>
      <c r="E355" s="23"/>
      <c r="F355" s="23"/>
      <c r="G355" s="108"/>
    </row>
    <row r="356">
      <c r="B356" s="23"/>
      <c r="C356" s="23"/>
      <c r="D356" s="23"/>
      <c r="E356" s="23"/>
      <c r="F356" s="23"/>
      <c r="G356" s="108"/>
    </row>
    <row r="357">
      <c r="B357" s="23"/>
      <c r="C357" s="23"/>
      <c r="D357" s="23"/>
      <c r="E357" s="23"/>
      <c r="F357" s="23"/>
      <c r="G357" s="108"/>
    </row>
    <row r="358">
      <c r="B358" s="23"/>
      <c r="C358" s="23"/>
      <c r="D358" s="23"/>
      <c r="E358" s="23"/>
      <c r="F358" s="23"/>
      <c r="G358" s="108"/>
    </row>
    <row r="359">
      <c r="B359" s="23"/>
      <c r="C359" s="23"/>
      <c r="D359" s="23"/>
      <c r="E359" s="23"/>
      <c r="F359" s="23"/>
      <c r="G359" s="108"/>
    </row>
    <row r="360">
      <c r="B360" s="23"/>
      <c r="C360" s="23"/>
      <c r="D360" s="23"/>
      <c r="E360" s="23"/>
      <c r="F360" s="23"/>
      <c r="G360" s="108"/>
    </row>
    <row r="361">
      <c r="B361" s="23"/>
      <c r="C361" s="23"/>
      <c r="D361" s="23"/>
      <c r="E361" s="23"/>
      <c r="F361" s="23"/>
      <c r="G361" s="108"/>
    </row>
    <row r="362">
      <c r="B362" s="23"/>
      <c r="C362" s="23"/>
      <c r="D362" s="23"/>
      <c r="E362" s="23"/>
      <c r="F362" s="23"/>
      <c r="G362" s="108"/>
    </row>
    <row r="363">
      <c r="B363" s="23"/>
      <c r="C363" s="23"/>
      <c r="D363" s="23"/>
      <c r="E363" s="23"/>
      <c r="F363" s="23"/>
      <c r="G363" s="108"/>
    </row>
    <row r="364">
      <c r="B364" s="23"/>
      <c r="C364" s="23"/>
      <c r="D364" s="23"/>
      <c r="E364" s="23"/>
      <c r="F364" s="23"/>
      <c r="G364" s="108"/>
    </row>
    <row r="365">
      <c r="B365" s="23"/>
      <c r="C365" s="23"/>
      <c r="D365" s="23"/>
      <c r="E365" s="23"/>
      <c r="F365" s="23"/>
      <c r="G365" s="108"/>
    </row>
    <row r="366">
      <c r="B366" s="23"/>
      <c r="C366" s="23"/>
      <c r="D366" s="23"/>
      <c r="E366" s="23"/>
      <c r="F366" s="23"/>
      <c r="G366" s="108"/>
    </row>
    <row r="367">
      <c r="B367" s="23"/>
      <c r="C367" s="23"/>
      <c r="D367" s="23"/>
      <c r="E367" s="23"/>
      <c r="F367" s="23"/>
      <c r="G367" s="108"/>
    </row>
    <row r="368">
      <c r="B368" s="23"/>
      <c r="C368" s="23"/>
      <c r="D368" s="23"/>
      <c r="E368" s="23"/>
      <c r="F368" s="23"/>
      <c r="G368" s="108"/>
    </row>
    <row r="369">
      <c r="B369" s="23"/>
      <c r="C369" s="23"/>
      <c r="D369" s="23"/>
      <c r="E369" s="23"/>
      <c r="F369" s="23"/>
      <c r="G369" s="108"/>
    </row>
    <row r="370">
      <c r="B370" s="23"/>
      <c r="C370" s="23"/>
      <c r="D370" s="23"/>
      <c r="E370" s="23"/>
      <c r="F370" s="23"/>
      <c r="G370" s="108"/>
    </row>
    <row r="371">
      <c r="B371" s="23"/>
      <c r="C371" s="23"/>
      <c r="D371" s="23"/>
      <c r="E371" s="23"/>
      <c r="F371" s="23"/>
      <c r="G371" s="108"/>
    </row>
    <row r="372">
      <c r="B372" s="23"/>
      <c r="C372" s="23"/>
      <c r="D372" s="23"/>
      <c r="E372" s="23"/>
      <c r="F372" s="23"/>
      <c r="G372" s="108"/>
    </row>
    <row r="373">
      <c r="B373" s="23"/>
      <c r="C373" s="23"/>
      <c r="D373" s="23"/>
      <c r="E373" s="23"/>
      <c r="F373" s="23"/>
      <c r="G373" s="108"/>
    </row>
    <row r="374">
      <c r="B374" s="23"/>
      <c r="C374" s="23"/>
      <c r="D374" s="23"/>
      <c r="E374" s="23"/>
      <c r="F374" s="23"/>
      <c r="G374" s="108"/>
    </row>
    <row r="375">
      <c r="B375" s="23"/>
      <c r="C375" s="23"/>
      <c r="D375" s="23"/>
      <c r="E375" s="23"/>
      <c r="F375" s="23"/>
      <c r="G375" s="108"/>
    </row>
    <row r="376">
      <c r="B376" s="23"/>
      <c r="C376" s="23"/>
      <c r="D376" s="23"/>
      <c r="E376" s="23"/>
      <c r="F376" s="23"/>
      <c r="G376" s="108"/>
    </row>
    <row r="377">
      <c r="B377" s="23"/>
      <c r="C377" s="23"/>
      <c r="D377" s="23"/>
      <c r="E377" s="23"/>
      <c r="F377" s="23"/>
      <c r="G377" s="108"/>
    </row>
    <row r="378">
      <c r="B378" s="23"/>
      <c r="C378" s="23"/>
      <c r="D378" s="23"/>
      <c r="E378" s="23"/>
      <c r="F378" s="23"/>
      <c r="G378" s="108"/>
    </row>
    <row r="379">
      <c r="B379" s="23"/>
      <c r="C379" s="23"/>
      <c r="D379" s="23"/>
      <c r="E379" s="23"/>
      <c r="F379" s="23"/>
      <c r="G379" s="108"/>
    </row>
    <row r="380">
      <c r="B380" s="23"/>
      <c r="C380" s="23"/>
      <c r="D380" s="23"/>
      <c r="E380" s="23"/>
      <c r="F380" s="23"/>
      <c r="G380" s="108"/>
    </row>
    <row r="381">
      <c r="B381" s="23"/>
      <c r="C381" s="23"/>
      <c r="D381" s="23"/>
      <c r="E381" s="23"/>
      <c r="F381" s="23"/>
      <c r="G381" s="108"/>
    </row>
    <row r="382">
      <c r="B382" s="23"/>
      <c r="C382" s="23"/>
      <c r="D382" s="23"/>
      <c r="E382" s="23"/>
      <c r="F382" s="23"/>
      <c r="G382" s="108"/>
    </row>
    <row r="383">
      <c r="B383" s="23"/>
      <c r="C383" s="23"/>
      <c r="D383" s="23"/>
      <c r="E383" s="23"/>
      <c r="F383" s="23"/>
      <c r="G383" s="108"/>
    </row>
    <row r="384">
      <c r="B384" s="23"/>
      <c r="C384" s="23"/>
      <c r="D384" s="23"/>
      <c r="E384" s="23"/>
      <c r="F384" s="23"/>
      <c r="G384" s="108"/>
    </row>
    <row r="385">
      <c r="B385" s="23"/>
      <c r="C385" s="23"/>
      <c r="D385" s="23"/>
      <c r="E385" s="23"/>
      <c r="F385" s="23"/>
      <c r="G385" s="108"/>
    </row>
    <row r="386">
      <c r="B386" s="23"/>
      <c r="C386" s="23"/>
      <c r="D386" s="23"/>
      <c r="E386" s="23"/>
      <c r="F386" s="23"/>
      <c r="G386" s="108"/>
    </row>
    <row r="387">
      <c r="B387" s="23"/>
      <c r="C387" s="23"/>
      <c r="D387" s="23"/>
      <c r="E387" s="23"/>
      <c r="F387" s="23"/>
      <c r="G387" s="108"/>
    </row>
    <row r="388">
      <c r="B388" s="23"/>
      <c r="C388" s="23"/>
      <c r="D388" s="23"/>
      <c r="E388" s="23"/>
      <c r="F388" s="23"/>
      <c r="G388" s="108"/>
    </row>
    <row r="389">
      <c r="B389" s="23"/>
      <c r="C389" s="23"/>
      <c r="D389" s="23"/>
      <c r="E389" s="23"/>
      <c r="F389" s="23"/>
      <c r="G389" s="108"/>
    </row>
    <row r="390">
      <c r="B390" s="23"/>
      <c r="C390" s="23"/>
      <c r="D390" s="23"/>
      <c r="E390" s="23"/>
      <c r="F390" s="23"/>
      <c r="G390" s="108"/>
    </row>
    <row r="391">
      <c r="B391" s="23"/>
      <c r="C391" s="23"/>
      <c r="D391" s="23"/>
      <c r="E391" s="23"/>
      <c r="F391" s="23"/>
      <c r="G391" s="108"/>
    </row>
    <row r="392">
      <c r="B392" s="23"/>
      <c r="C392" s="23"/>
      <c r="D392" s="23"/>
      <c r="E392" s="23"/>
      <c r="F392" s="23"/>
      <c r="G392" s="108"/>
    </row>
    <row r="393">
      <c r="B393" s="23"/>
      <c r="C393" s="23"/>
      <c r="D393" s="23"/>
      <c r="E393" s="23"/>
      <c r="F393" s="23"/>
      <c r="G393" s="108"/>
    </row>
    <row r="394">
      <c r="B394" s="23"/>
      <c r="C394" s="23"/>
      <c r="D394" s="23"/>
      <c r="E394" s="23"/>
      <c r="F394" s="23"/>
      <c r="G394" s="108"/>
    </row>
    <row r="395">
      <c r="B395" s="23"/>
      <c r="C395" s="23"/>
      <c r="D395" s="23"/>
      <c r="E395" s="23"/>
      <c r="F395" s="23"/>
      <c r="G395" s="108"/>
    </row>
    <row r="396">
      <c r="B396" s="23"/>
      <c r="C396" s="23"/>
      <c r="D396" s="23"/>
      <c r="E396" s="23"/>
      <c r="F396" s="23"/>
      <c r="G396" s="108"/>
    </row>
    <row r="397">
      <c r="B397" s="23"/>
      <c r="C397" s="23"/>
      <c r="D397" s="23"/>
      <c r="E397" s="23"/>
      <c r="F397" s="23"/>
      <c r="G397" s="108"/>
    </row>
    <row r="398">
      <c r="B398" s="23"/>
      <c r="C398" s="23"/>
      <c r="D398" s="23"/>
      <c r="E398" s="23"/>
      <c r="F398" s="23"/>
      <c r="G398" s="108"/>
    </row>
    <row r="399">
      <c r="B399" s="23"/>
      <c r="C399" s="23"/>
      <c r="D399" s="23"/>
      <c r="E399" s="23"/>
      <c r="F399" s="23"/>
      <c r="G399" s="108"/>
    </row>
    <row r="400">
      <c r="B400" s="23"/>
      <c r="C400" s="23"/>
      <c r="D400" s="23"/>
      <c r="E400" s="23"/>
      <c r="F400" s="23"/>
      <c r="G400" s="108"/>
    </row>
    <row r="401">
      <c r="B401" s="23"/>
      <c r="C401" s="23"/>
      <c r="D401" s="23"/>
      <c r="E401" s="23"/>
      <c r="F401" s="23"/>
      <c r="G401" s="108"/>
    </row>
    <row r="402">
      <c r="B402" s="23"/>
      <c r="C402" s="23"/>
      <c r="D402" s="23"/>
      <c r="E402" s="23"/>
      <c r="F402" s="23"/>
      <c r="G402" s="108"/>
    </row>
    <row r="403">
      <c r="B403" s="23"/>
      <c r="C403" s="23"/>
      <c r="D403" s="23"/>
      <c r="E403" s="23"/>
      <c r="F403" s="23"/>
      <c r="G403" s="108"/>
    </row>
    <row r="404">
      <c r="B404" s="23"/>
      <c r="C404" s="23"/>
      <c r="D404" s="23"/>
      <c r="E404" s="23"/>
      <c r="F404" s="23"/>
      <c r="G404" s="108"/>
    </row>
    <row r="405">
      <c r="B405" s="23"/>
      <c r="C405" s="23"/>
      <c r="D405" s="23"/>
      <c r="E405" s="23"/>
      <c r="F405" s="23"/>
      <c r="G405" s="108"/>
    </row>
    <row r="406">
      <c r="B406" s="23"/>
      <c r="C406" s="23"/>
      <c r="D406" s="23"/>
      <c r="E406" s="23"/>
      <c r="F406" s="23"/>
      <c r="G406" s="108"/>
    </row>
    <row r="407">
      <c r="B407" s="23"/>
      <c r="C407" s="23"/>
      <c r="D407" s="23"/>
      <c r="E407" s="23"/>
      <c r="F407" s="23"/>
      <c r="G407" s="108"/>
    </row>
    <row r="408">
      <c r="B408" s="23"/>
      <c r="C408" s="23"/>
      <c r="D408" s="23"/>
      <c r="E408" s="23"/>
      <c r="F408" s="23"/>
      <c r="G408" s="108"/>
    </row>
    <row r="409">
      <c r="B409" s="23"/>
      <c r="C409" s="23"/>
      <c r="D409" s="23"/>
      <c r="E409" s="23"/>
      <c r="F409" s="23"/>
      <c r="G409" s="108"/>
    </row>
    <row r="410">
      <c r="B410" s="23"/>
      <c r="C410" s="23"/>
      <c r="D410" s="23"/>
      <c r="E410" s="23"/>
      <c r="F410" s="23"/>
      <c r="G410" s="108"/>
    </row>
    <row r="411">
      <c r="B411" s="23"/>
      <c r="C411" s="23"/>
      <c r="D411" s="23"/>
      <c r="E411" s="23"/>
      <c r="F411" s="23"/>
      <c r="G411" s="108"/>
    </row>
    <row r="412">
      <c r="B412" s="23"/>
      <c r="C412" s="23"/>
      <c r="D412" s="23"/>
      <c r="E412" s="23"/>
      <c r="F412" s="23"/>
      <c r="G412" s="108"/>
    </row>
    <row r="413">
      <c r="B413" s="23"/>
      <c r="C413" s="23"/>
      <c r="D413" s="23"/>
      <c r="E413" s="23"/>
      <c r="F413" s="23"/>
      <c r="G413" s="108"/>
    </row>
    <row r="414">
      <c r="B414" s="23"/>
      <c r="C414" s="23"/>
      <c r="D414" s="23"/>
      <c r="E414" s="23"/>
      <c r="F414" s="23"/>
      <c r="G414" s="108"/>
    </row>
    <row r="415">
      <c r="B415" s="23"/>
      <c r="C415" s="23"/>
      <c r="D415" s="23"/>
      <c r="E415" s="23"/>
      <c r="F415" s="23"/>
      <c r="G415" s="108"/>
    </row>
    <row r="416">
      <c r="B416" s="23"/>
      <c r="C416" s="23"/>
      <c r="D416" s="23"/>
      <c r="E416" s="23"/>
      <c r="F416" s="23"/>
      <c r="G416" s="108"/>
    </row>
    <row r="417">
      <c r="B417" s="23"/>
      <c r="C417" s="23"/>
      <c r="D417" s="23"/>
      <c r="E417" s="23"/>
      <c r="F417" s="23"/>
      <c r="G417" s="108"/>
    </row>
    <row r="418">
      <c r="B418" s="23"/>
      <c r="C418" s="23"/>
      <c r="D418" s="23"/>
      <c r="E418" s="23"/>
      <c r="F418" s="23"/>
      <c r="G418" s="108"/>
    </row>
    <row r="419">
      <c r="B419" s="23"/>
      <c r="C419" s="23"/>
      <c r="D419" s="23"/>
      <c r="E419" s="23"/>
      <c r="F419" s="23"/>
      <c r="G419" s="108"/>
    </row>
    <row r="420">
      <c r="B420" s="23"/>
      <c r="C420" s="23"/>
      <c r="D420" s="23"/>
      <c r="E420" s="23"/>
      <c r="F420" s="23"/>
      <c r="G420" s="108"/>
    </row>
    <row r="421">
      <c r="B421" s="23"/>
      <c r="C421" s="23"/>
      <c r="D421" s="23"/>
      <c r="E421" s="23"/>
      <c r="F421" s="23"/>
      <c r="G421" s="108"/>
    </row>
    <row r="422">
      <c r="B422" s="23"/>
      <c r="C422" s="23"/>
      <c r="D422" s="23"/>
      <c r="E422" s="23"/>
      <c r="F422" s="23"/>
      <c r="G422" s="108"/>
    </row>
    <row r="423">
      <c r="B423" s="23"/>
      <c r="C423" s="23"/>
      <c r="D423" s="23"/>
      <c r="E423" s="23"/>
      <c r="F423" s="23"/>
      <c r="G423" s="108"/>
    </row>
    <row r="424">
      <c r="B424" s="23"/>
      <c r="C424" s="23"/>
      <c r="D424" s="23"/>
      <c r="E424" s="23"/>
      <c r="F424" s="23"/>
      <c r="G424" s="108"/>
    </row>
    <row r="425">
      <c r="B425" s="23"/>
      <c r="C425" s="23"/>
      <c r="D425" s="23"/>
      <c r="E425" s="23"/>
      <c r="F425" s="23"/>
      <c r="G425" s="108"/>
    </row>
    <row r="426">
      <c r="B426" s="23"/>
      <c r="C426" s="23"/>
      <c r="D426" s="23"/>
      <c r="E426" s="23"/>
      <c r="F426" s="23"/>
      <c r="G426" s="108"/>
    </row>
    <row r="427">
      <c r="B427" s="23"/>
      <c r="C427" s="23"/>
      <c r="D427" s="23"/>
      <c r="E427" s="23"/>
      <c r="F427" s="23"/>
      <c r="G427" s="108"/>
    </row>
    <row r="428">
      <c r="B428" s="23"/>
      <c r="C428" s="23"/>
      <c r="D428" s="23"/>
      <c r="E428" s="23"/>
      <c r="F428" s="23"/>
      <c r="G428" s="108"/>
    </row>
    <row r="429">
      <c r="B429" s="23"/>
      <c r="C429" s="23"/>
      <c r="D429" s="23"/>
      <c r="E429" s="23"/>
      <c r="F429" s="23"/>
      <c r="G429" s="108"/>
    </row>
    <row r="430">
      <c r="B430" s="23"/>
      <c r="C430" s="23"/>
      <c r="D430" s="23"/>
      <c r="E430" s="23"/>
      <c r="F430" s="23"/>
      <c r="G430" s="108"/>
    </row>
    <row r="431">
      <c r="B431" s="23"/>
      <c r="C431" s="23"/>
      <c r="D431" s="23"/>
      <c r="E431" s="23"/>
      <c r="F431" s="23"/>
      <c r="G431" s="108"/>
    </row>
    <row r="432">
      <c r="B432" s="23"/>
      <c r="C432" s="23"/>
      <c r="D432" s="23"/>
      <c r="E432" s="23"/>
      <c r="F432" s="23"/>
      <c r="G432" s="108"/>
    </row>
    <row r="433">
      <c r="B433" s="23"/>
      <c r="C433" s="23"/>
      <c r="D433" s="23"/>
      <c r="E433" s="23"/>
      <c r="F433" s="23"/>
      <c r="G433" s="108"/>
    </row>
    <row r="434">
      <c r="B434" s="23"/>
      <c r="C434" s="23"/>
      <c r="D434" s="23"/>
      <c r="E434" s="23"/>
      <c r="F434" s="23"/>
      <c r="G434" s="108"/>
    </row>
    <row r="435">
      <c r="B435" s="23"/>
      <c r="C435" s="23"/>
      <c r="D435" s="23"/>
      <c r="E435" s="23"/>
      <c r="F435" s="23"/>
      <c r="G435" s="108"/>
    </row>
    <row r="436">
      <c r="B436" s="23"/>
      <c r="C436" s="23"/>
      <c r="D436" s="23"/>
      <c r="E436" s="23"/>
      <c r="F436" s="23"/>
      <c r="G436" s="108"/>
    </row>
    <row r="437">
      <c r="B437" s="23"/>
      <c r="C437" s="23"/>
      <c r="D437" s="23"/>
      <c r="E437" s="23"/>
      <c r="F437" s="23"/>
      <c r="G437" s="108"/>
    </row>
    <row r="438">
      <c r="B438" s="23"/>
      <c r="C438" s="23"/>
      <c r="D438" s="23"/>
      <c r="E438" s="23"/>
      <c r="F438" s="23"/>
      <c r="G438" s="108"/>
    </row>
    <row r="439">
      <c r="B439" s="23"/>
      <c r="C439" s="23"/>
      <c r="D439" s="23"/>
      <c r="E439" s="23"/>
      <c r="F439" s="23"/>
      <c r="G439" s="108"/>
    </row>
    <row r="440">
      <c r="B440" s="23"/>
      <c r="C440" s="23"/>
      <c r="D440" s="23"/>
      <c r="E440" s="23"/>
      <c r="F440" s="23"/>
      <c r="G440" s="108"/>
    </row>
    <row r="441">
      <c r="B441" s="23"/>
      <c r="C441" s="23"/>
      <c r="D441" s="23"/>
      <c r="E441" s="23"/>
      <c r="F441" s="23"/>
      <c r="G441" s="108"/>
    </row>
    <row r="442">
      <c r="B442" s="23"/>
      <c r="C442" s="23"/>
      <c r="D442" s="23"/>
      <c r="E442" s="23"/>
      <c r="F442" s="23"/>
      <c r="G442" s="108"/>
    </row>
    <row r="443">
      <c r="B443" s="23"/>
      <c r="C443" s="23"/>
      <c r="D443" s="23"/>
      <c r="E443" s="23"/>
      <c r="F443" s="23"/>
      <c r="G443" s="108"/>
    </row>
    <row r="444">
      <c r="B444" s="23"/>
      <c r="C444" s="23"/>
      <c r="D444" s="23"/>
      <c r="E444" s="23"/>
      <c r="F444" s="23"/>
      <c r="G444" s="108"/>
    </row>
    <row r="445">
      <c r="B445" s="23"/>
      <c r="C445" s="23"/>
      <c r="D445" s="23"/>
      <c r="E445" s="23"/>
      <c r="F445" s="23"/>
      <c r="G445" s="108"/>
    </row>
    <row r="446">
      <c r="B446" s="23"/>
      <c r="C446" s="23"/>
      <c r="D446" s="23"/>
      <c r="E446" s="23"/>
      <c r="F446" s="23"/>
      <c r="G446" s="108"/>
    </row>
    <row r="447">
      <c r="B447" s="23"/>
      <c r="C447" s="23"/>
      <c r="D447" s="23"/>
      <c r="E447" s="23"/>
      <c r="F447" s="23"/>
      <c r="G447" s="108"/>
    </row>
    <row r="448">
      <c r="B448" s="23"/>
      <c r="C448" s="23"/>
      <c r="D448" s="23"/>
      <c r="E448" s="23"/>
      <c r="F448" s="23"/>
      <c r="G448" s="108"/>
    </row>
    <row r="449">
      <c r="B449" s="23"/>
      <c r="C449" s="23"/>
      <c r="D449" s="23"/>
      <c r="E449" s="23"/>
      <c r="F449" s="23"/>
      <c r="G449" s="108"/>
    </row>
    <row r="450">
      <c r="B450" s="23"/>
      <c r="C450" s="23"/>
      <c r="D450" s="23"/>
      <c r="E450" s="23"/>
      <c r="F450" s="23"/>
      <c r="G450" s="108"/>
    </row>
    <row r="451">
      <c r="B451" s="23"/>
      <c r="C451" s="23"/>
      <c r="D451" s="23"/>
      <c r="E451" s="23"/>
      <c r="F451" s="23"/>
      <c r="G451" s="108"/>
    </row>
    <row r="452">
      <c r="B452" s="23"/>
      <c r="C452" s="23"/>
      <c r="D452" s="23"/>
      <c r="E452" s="23"/>
      <c r="F452" s="23"/>
      <c r="G452" s="108"/>
    </row>
    <row r="453">
      <c r="B453" s="23"/>
      <c r="C453" s="23"/>
      <c r="D453" s="23"/>
      <c r="E453" s="23"/>
      <c r="F453" s="23"/>
      <c r="G453" s="108"/>
    </row>
    <row r="454">
      <c r="B454" s="23"/>
      <c r="C454" s="23"/>
      <c r="D454" s="23"/>
      <c r="E454" s="23"/>
      <c r="F454" s="23"/>
      <c r="G454" s="108"/>
    </row>
    <row r="455">
      <c r="B455" s="23"/>
      <c r="C455" s="23"/>
      <c r="D455" s="23"/>
      <c r="E455" s="23"/>
      <c r="F455" s="23"/>
      <c r="G455" s="108"/>
    </row>
    <row r="456">
      <c r="B456" s="23"/>
      <c r="C456" s="23"/>
      <c r="D456" s="23"/>
      <c r="E456" s="23"/>
      <c r="F456" s="23"/>
      <c r="G456" s="108"/>
    </row>
    <row r="457">
      <c r="B457" s="23"/>
      <c r="C457" s="23"/>
      <c r="D457" s="23"/>
      <c r="E457" s="23"/>
      <c r="F457" s="23"/>
      <c r="G457" s="108"/>
    </row>
    <row r="458">
      <c r="B458" s="23"/>
      <c r="C458" s="23"/>
      <c r="D458" s="23"/>
      <c r="E458" s="23"/>
      <c r="F458" s="23"/>
      <c r="G458" s="108"/>
    </row>
    <row r="459">
      <c r="B459" s="23"/>
      <c r="C459" s="23"/>
      <c r="D459" s="23"/>
      <c r="E459" s="23"/>
      <c r="F459" s="23"/>
      <c r="G459" s="108"/>
    </row>
    <row r="460">
      <c r="B460" s="23"/>
      <c r="C460" s="23"/>
      <c r="D460" s="23"/>
      <c r="E460" s="23"/>
      <c r="F460" s="23"/>
      <c r="G460" s="108"/>
    </row>
    <row r="461">
      <c r="B461" s="23"/>
      <c r="C461" s="23"/>
      <c r="D461" s="23"/>
      <c r="E461" s="23"/>
      <c r="F461" s="23"/>
      <c r="G461" s="108"/>
    </row>
    <row r="462">
      <c r="B462" s="23"/>
      <c r="C462" s="23"/>
      <c r="D462" s="23"/>
      <c r="E462" s="23"/>
      <c r="F462" s="23"/>
      <c r="G462" s="108"/>
    </row>
    <row r="463">
      <c r="B463" s="23"/>
      <c r="C463" s="23"/>
      <c r="D463" s="23"/>
      <c r="E463" s="23"/>
      <c r="F463" s="23"/>
      <c r="G463" s="108"/>
    </row>
    <row r="464">
      <c r="B464" s="23"/>
      <c r="C464" s="23"/>
      <c r="D464" s="23"/>
      <c r="E464" s="23"/>
      <c r="F464" s="23"/>
      <c r="G464" s="108"/>
    </row>
    <row r="465">
      <c r="B465" s="23"/>
      <c r="C465" s="23"/>
      <c r="D465" s="23"/>
      <c r="E465" s="23"/>
      <c r="F465" s="23"/>
      <c r="G465" s="108"/>
    </row>
    <row r="466">
      <c r="B466" s="23"/>
      <c r="C466" s="23"/>
      <c r="D466" s="23"/>
      <c r="E466" s="23"/>
      <c r="F466" s="23"/>
      <c r="G466" s="108"/>
    </row>
    <row r="467">
      <c r="B467" s="23"/>
      <c r="C467" s="23"/>
      <c r="D467" s="23"/>
      <c r="E467" s="23"/>
      <c r="F467" s="23"/>
      <c r="G467" s="108"/>
    </row>
    <row r="468">
      <c r="B468" s="23"/>
      <c r="C468" s="23"/>
      <c r="D468" s="23"/>
      <c r="E468" s="23"/>
      <c r="F468" s="23"/>
      <c r="G468" s="108"/>
    </row>
    <row r="469">
      <c r="B469" s="23"/>
      <c r="C469" s="23"/>
      <c r="D469" s="23"/>
      <c r="E469" s="23"/>
      <c r="F469" s="23"/>
      <c r="G469" s="108"/>
    </row>
    <row r="470">
      <c r="B470" s="23"/>
      <c r="C470" s="23"/>
      <c r="D470" s="23"/>
      <c r="E470" s="23"/>
      <c r="F470" s="23"/>
      <c r="G470" s="108"/>
    </row>
    <row r="471">
      <c r="B471" s="23"/>
      <c r="C471" s="23"/>
      <c r="D471" s="23"/>
      <c r="E471" s="23"/>
      <c r="F471" s="23"/>
      <c r="G471" s="108"/>
    </row>
    <row r="472">
      <c r="B472" s="23"/>
      <c r="C472" s="23"/>
      <c r="D472" s="23"/>
      <c r="E472" s="23"/>
      <c r="F472" s="23"/>
      <c r="G472" s="108"/>
    </row>
    <row r="473">
      <c r="B473" s="23"/>
      <c r="C473" s="23"/>
      <c r="D473" s="23"/>
      <c r="E473" s="23"/>
      <c r="F473" s="23"/>
      <c r="G473" s="108"/>
    </row>
    <row r="474">
      <c r="B474" s="23"/>
      <c r="C474" s="23"/>
      <c r="D474" s="23"/>
      <c r="E474" s="23"/>
      <c r="F474" s="23"/>
      <c r="G474" s="108"/>
    </row>
    <row r="475">
      <c r="B475" s="23"/>
      <c r="C475" s="23"/>
      <c r="D475" s="23"/>
      <c r="E475" s="23"/>
      <c r="F475" s="23"/>
      <c r="G475" s="108"/>
    </row>
    <row r="476">
      <c r="B476" s="23"/>
      <c r="C476" s="23"/>
      <c r="D476" s="23"/>
      <c r="E476" s="23"/>
      <c r="F476" s="23"/>
      <c r="G476" s="108"/>
    </row>
    <row r="477">
      <c r="B477" s="23"/>
      <c r="C477" s="23"/>
      <c r="D477" s="23"/>
      <c r="E477" s="23"/>
      <c r="F477" s="23"/>
      <c r="G477" s="108"/>
    </row>
    <row r="478">
      <c r="B478" s="23"/>
      <c r="C478" s="23"/>
      <c r="D478" s="23"/>
      <c r="E478" s="23"/>
      <c r="F478" s="23"/>
      <c r="G478" s="108"/>
    </row>
    <row r="479">
      <c r="B479" s="23"/>
      <c r="C479" s="23"/>
      <c r="D479" s="23"/>
      <c r="E479" s="23"/>
      <c r="F479" s="23"/>
      <c r="G479" s="108"/>
    </row>
    <row r="480">
      <c r="B480" s="23"/>
      <c r="C480" s="23"/>
      <c r="D480" s="23"/>
      <c r="E480" s="23"/>
      <c r="F480" s="23"/>
      <c r="G480" s="108"/>
    </row>
    <row r="481">
      <c r="B481" s="23"/>
      <c r="C481" s="23"/>
      <c r="D481" s="23"/>
      <c r="E481" s="23"/>
      <c r="F481" s="23"/>
      <c r="G481" s="108"/>
    </row>
    <row r="482">
      <c r="B482" s="23"/>
      <c r="C482" s="23"/>
      <c r="D482" s="23"/>
      <c r="E482" s="23"/>
      <c r="F482" s="23"/>
      <c r="G482" s="108"/>
    </row>
    <row r="483">
      <c r="B483" s="23"/>
      <c r="C483" s="23"/>
      <c r="D483" s="23"/>
      <c r="E483" s="23"/>
      <c r="F483" s="23"/>
      <c r="G483" s="108"/>
    </row>
    <row r="484">
      <c r="B484" s="23"/>
      <c r="C484" s="23"/>
      <c r="D484" s="23"/>
      <c r="E484" s="23"/>
      <c r="F484" s="23"/>
      <c r="G484" s="108"/>
    </row>
    <row r="485">
      <c r="B485" s="23"/>
      <c r="C485" s="23"/>
      <c r="D485" s="23"/>
      <c r="E485" s="23"/>
      <c r="F485" s="23"/>
      <c r="G485" s="108"/>
    </row>
    <row r="486">
      <c r="B486" s="23"/>
      <c r="C486" s="23"/>
      <c r="D486" s="23"/>
      <c r="E486" s="23"/>
      <c r="F486" s="23"/>
      <c r="G486" s="108"/>
    </row>
    <row r="487">
      <c r="B487" s="23"/>
      <c r="C487" s="23"/>
      <c r="D487" s="23"/>
      <c r="E487" s="23"/>
      <c r="F487" s="23"/>
      <c r="G487" s="108"/>
    </row>
    <row r="488">
      <c r="B488" s="23"/>
      <c r="C488" s="23"/>
      <c r="D488" s="23"/>
      <c r="E488" s="23"/>
      <c r="F488" s="23"/>
      <c r="G488" s="108"/>
    </row>
    <row r="489">
      <c r="B489" s="23"/>
      <c r="C489" s="23"/>
      <c r="D489" s="23"/>
      <c r="E489" s="23"/>
      <c r="F489" s="23"/>
      <c r="G489" s="108"/>
    </row>
    <row r="490">
      <c r="B490" s="23"/>
      <c r="C490" s="23"/>
      <c r="D490" s="23"/>
      <c r="E490" s="23"/>
      <c r="F490" s="23"/>
      <c r="G490" s="108"/>
    </row>
    <row r="491">
      <c r="B491" s="23"/>
      <c r="C491" s="23"/>
      <c r="D491" s="23"/>
      <c r="E491" s="23"/>
      <c r="F491" s="23"/>
      <c r="G491" s="108"/>
    </row>
    <row r="492">
      <c r="B492" s="23"/>
      <c r="C492" s="23"/>
      <c r="D492" s="23"/>
      <c r="E492" s="23"/>
      <c r="F492" s="23"/>
      <c r="G492" s="108"/>
    </row>
    <row r="493">
      <c r="B493" s="23"/>
      <c r="C493" s="23"/>
      <c r="D493" s="23"/>
      <c r="E493" s="23"/>
      <c r="F493" s="23"/>
      <c r="G493" s="108"/>
    </row>
    <row r="494">
      <c r="B494" s="23"/>
      <c r="C494" s="23"/>
      <c r="D494" s="23"/>
      <c r="E494" s="23"/>
      <c r="F494" s="23"/>
      <c r="G494" s="108"/>
    </row>
    <row r="495">
      <c r="B495" s="23"/>
      <c r="C495" s="23"/>
      <c r="D495" s="23"/>
      <c r="E495" s="23"/>
      <c r="F495" s="23"/>
      <c r="G495" s="108"/>
    </row>
    <row r="496">
      <c r="B496" s="23"/>
      <c r="C496" s="23"/>
      <c r="D496" s="23"/>
      <c r="E496" s="23"/>
      <c r="F496" s="23"/>
      <c r="G496" s="108"/>
    </row>
    <row r="497">
      <c r="B497" s="23"/>
      <c r="C497" s="23"/>
      <c r="D497" s="23"/>
      <c r="E497" s="23"/>
      <c r="F497" s="23"/>
      <c r="G497" s="108"/>
    </row>
    <row r="498">
      <c r="B498" s="23"/>
      <c r="C498" s="23"/>
      <c r="D498" s="23"/>
      <c r="E498" s="23"/>
      <c r="F498" s="23"/>
      <c r="G498" s="108"/>
    </row>
    <row r="499">
      <c r="B499" s="23"/>
      <c r="C499" s="23"/>
      <c r="D499" s="23"/>
      <c r="E499" s="23"/>
      <c r="F499" s="23"/>
      <c r="G499" s="108"/>
    </row>
    <row r="500">
      <c r="B500" s="23"/>
      <c r="C500" s="23"/>
      <c r="D500" s="23"/>
      <c r="E500" s="23"/>
      <c r="F500" s="23"/>
      <c r="G500" s="108"/>
    </row>
    <row r="501">
      <c r="B501" s="23"/>
      <c r="C501" s="23"/>
      <c r="D501" s="23"/>
      <c r="E501" s="23"/>
      <c r="F501" s="23"/>
      <c r="G501" s="108"/>
    </row>
    <row r="502">
      <c r="B502" s="23"/>
      <c r="C502" s="23"/>
      <c r="D502" s="23"/>
      <c r="E502" s="23"/>
      <c r="F502" s="23"/>
      <c r="G502" s="108"/>
    </row>
    <row r="503">
      <c r="B503" s="23"/>
      <c r="C503" s="23"/>
      <c r="D503" s="23"/>
      <c r="E503" s="23"/>
      <c r="F503" s="23"/>
      <c r="G503" s="108"/>
    </row>
    <row r="504">
      <c r="B504" s="23"/>
      <c r="C504" s="23"/>
      <c r="D504" s="23"/>
      <c r="E504" s="23"/>
      <c r="F504" s="23"/>
      <c r="G504" s="108"/>
    </row>
    <row r="505">
      <c r="B505" s="23"/>
      <c r="C505" s="23"/>
      <c r="D505" s="23"/>
      <c r="E505" s="23"/>
      <c r="F505" s="23"/>
      <c r="G505" s="108"/>
    </row>
    <row r="506">
      <c r="B506" s="23"/>
      <c r="C506" s="23"/>
      <c r="D506" s="23"/>
      <c r="E506" s="23"/>
      <c r="F506" s="23"/>
      <c r="G506" s="108"/>
    </row>
    <row r="507">
      <c r="B507" s="23"/>
      <c r="C507" s="23"/>
      <c r="D507" s="23"/>
      <c r="E507" s="23"/>
      <c r="F507" s="23"/>
      <c r="G507" s="108"/>
    </row>
    <row r="508">
      <c r="B508" s="23"/>
      <c r="C508" s="23"/>
      <c r="D508" s="23"/>
      <c r="E508" s="23"/>
      <c r="F508" s="23"/>
      <c r="G508" s="108"/>
    </row>
    <row r="509">
      <c r="B509" s="23"/>
      <c r="C509" s="23"/>
      <c r="D509" s="23"/>
      <c r="E509" s="23"/>
      <c r="F509" s="23"/>
      <c r="G509" s="108"/>
    </row>
    <row r="510">
      <c r="B510" s="23"/>
      <c r="C510" s="23"/>
      <c r="D510" s="23"/>
      <c r="E510" s="23"/>
      <c r="F510" s="23"/>
      <c r="G510" s="108"/>
    </row>
    <row r="511">
      <c r="B511" s="23"/>
      <c r="C511" s="23"/>
      <c r="D511" s="23"/>
      <c r="E511" s="23"/>
      <c r="F511" s="23"/>
      <c r="G511" s="108"/>
    </row>
    <row r="512">
      <c r="B512" s="23"/>
      <c r="C512" s="23"/>
      <c r="D512" s="23"/>
      <c r="E512" s="23"/>
      <c r="F512" s="23"/>
      <c r="G512" s="108"/>
    </row>
    <row r="513">
      <c r="B513" s="23"/>
      <c r="C513" s="23"/>
      <c r="D513" s="23"/>
      <c r="E513" s="23"/>
      <c r="F513" s="23"/>
      <c r="G513" s="108"/>
    </row>
    <row r="514">
      <c r="B514" s="23"/>
      <c r="C514" s="23"/>
      <c r="D514" s="23"/>
      <c r="E514" s="23"/>
      <c r="F514" s="23"/>
      <c r="G514" s="108"/>
    </row>
    <row r="515">
      <c r="B515" s="23"/>
      <c r="C515" s="23"/>
      <c r="D515" s="23"/>
      <c r="E515" s="23"/>
      <c r="F515" s="23"/>
      <c r="G515" s="108"/>
    </row>
    <row r="516">
      <c r="B516" s="23"/>
      <c r="C516" s="23"/>
      <c r="D516" s="23"/>
      <c r="E516" s="23"/>
      <c r="F516" s="23"/>
      <c r="G516" s="108"/>
    </row>
    <row r="517">
      <c r="B517" s="23"/>
      <c r="C517" s="23"/>
      <c r="D517" s="23"/>
      <c r="E517" s="23"/>
      <c r="F517" s="23"/>
      <c r="G517" s="108"/>
    </row>
    <row r="518">
      <c r="B518" s="23"/>
      <c r="C518" s="23"/>
      <c r="D518" s="23"/>
      <c r="E518" s="23"/>
      <c r="F518" s="23"/>
      <c r="G518" s="108"/>
    </row>
    <row r="519">
      <c r="B519" s="23"/>
      <c r="C519" s="23"/>
      <c r="D519" s="23"/>
      <c r="E519" s="23"/>
      <c r="F519" s="23"/>
      <c r="G519" s="108"/>
    </row>
    <row r="520">
      <c r="B520" s="23"/>
      <c r="C520" s="23"/>
      <c r="D520" s="23"/>
      <c r="E520" s="23"/>
      <c r="F520" s="23"/>
      <c r="G520" s="108"/>
    </row>
    <row r="521">
      <c r="B521" s="23"/>
      <c r="C521" s="23"/>
      <c r="D521" s="23"/>
      <c r="E521" s="23"/>
      <c r="F521" s="23"/>
      <c r="G521" s="108"/>
    </row>
    <row r="522">
      <c r="B522" s="23"/>
      <c r="C522" s="23"/>
      <c r="D522" s="23"/>
      <c r="E522" s="23"/>
      <c r="F522" s="23"/>
      <c r="G522" s="108"/>
    </row>
    <row r="523">
      <c r="B523" s="23"/>
      <c r="C523" s="23"/>
      <c r="D523" s="23"/>
      <c r="E523" s="23"/>
      <c r="F523" s="23"/>
      <c r="G523" s="108"/>
    </row>
    <row r="524">
      <c r="B524" s="23"/>
      <c r="C524" s="23"/>
      <c r="D524" s="23"/>
      <c r="E524" s="23"/>
      <c r="F524" s="23"/>
      <c r="G524" s="108"/>
    </row>
    <row r="525">
      <c r="B525" s="23"/>
      <c r="C525" s="23"/>
      <c r="D525" s="23"/>
      <c r="E525" s="23"/>
      <c r="F525" s="23"/>
      <c r="G525" s="108"/>
    </row>
    <row r="526">
      <c r="B526" s="23"/>
      <c r="C526" s="23"/>
      <c r="D526" s="23"/>
      <c r="E526" s="23"/>
      <c r="F526" s="23"/>
      <c r="G526" s="108"/>
    </row>
    <row r="527">
      <c r="B527" s="23"/>
      <c r="C527" s="23"/>
      <c r="D527" s="23"/>
      <c r="E527" s="23"/>
      <c r="F527" s="23"/>
      <c r="G527" s="108"/>
    </row>
    <row r="528">
      <c r="B528" s="23"/>
      <c r="C528" s="23"/>
      <c r="D528" s="23"/>
      <c r="E528" s="23"/>
      <c r="F528" s="23"/>
      <c r="G528" s="108"/>
    </row>
    <row r="529">
      <c r="B529" s="23"/>
      <c r="C529" s="23"/>
      <c r="D529" s="23"/>
      <c r="E529" s="23"/>
      <c r="F529" s="23"/>
      <c r="G529" s="108"/>
    </row>
    <row r="530">
      <c r="B530" s="23"/>
      <c r="C530" s="23"/>
      <c r="D530" s="23"/>
      <c r="E530" s="23"/>
      <c r="F530" s="23"/>
      <c r="G530" s="108"/>
    </row>
    <row r="531">
      <c r="B531" s="23"/>
      <c r="C531" s="23"/>
      <c r="D531" s="23"/>
      <c r="E531" s="23"/>
      <c r="F531" s="23"/>
      <c r="G531" s="108"/>
    </row>
    <row r="532">
      <c r="B532" s="23"/>
      <c r="C532" s="23"/>
      <c r="D532" s="23"/>
      <c r="E532" s="23"/>
      <c r="F532" s="23"/>
      <c r="G532" s="108"/>
    </row>
    <row r="533">
      <c r="B533" s="23"/>
      <c r="C533" s="23"/>
      <c r="D533" s="23"/>
      <c r="E533" s="23"/>
      <c r="F533" s="23"/>
      <c r="G533" s="108"/>
    </row>
    <row r="534">
      <c r="B534" s="23"/>
      <c r="C534" s="23"/>
      <c r="D534" s="23"/>
      <c r="E534" s="23"/>
      <c r="F534" s="23"/>
      <c r="G534" s="108"/>
    </row>
    <row r="535">
      <c r="B535" s="23"/>
      <c r="C535" s="23"/>
      <c r="D535" s="23"/>
      <c r="E535" s="23"/>
      <c r="F535" s="23"/>
      <c r="G535" s="108"/>
    </row>
    <row r="536">
      <c r="B536" s="23"/>
      <c r="C536" s="23"/>
      <c r="D536" s="23"/>
      <c r="E536" s="23"/>
      <c r="F536" s="23"/>
      <c r="G536" s="108"/>
    </row>
    <row r="537">
      <c r="B537" s="23"/>
      <c r="C537" s="23"/>
      <c r="D537" s="23"/>
      <c r="E537" s="23"/>
      <c r="F537" s="23"/>
      <c r="G537" s="108"/>
    </row>
    <row r="538">
      <c r="B538" s="23"/>
      <c r="C538" s="23"/>
      <c r="D538" s="23"/>
      <c r="E538" s="23"/>
      <c r="F538" s="23"/>
      <c r="G538" s="108"/>
    </row>
    <row r="539">
      <c r="B539" s="23"/>
      <c r="C539" s="23"/>
      <c r="D539" s="23"/>
      <c r="E539" s="23"/>
      <c r="F539" s="23"/>
      <c r="G539" s="108"/>
    </row>
    <row r="540">
      <c r="B540" s="23"/>
      <c r="C540" s="23"/>
      <c r="D540" s="23"/>
      <c r="E540" s="23"/>
      <c r="F540" s="23"/>
      <c r="G540" s="108"/>
    </row>
    <row r="541">
      <c r="B541" s="23"/>
      <c r="C541" s="23"/>
      <c r="D541" s="23"/>
      <c r="E541" s="23"/>
      <c r="F541" s="23"/>
      <c r="G541" s="108"/>
    </row>
    <row r="542">
      <c r="B542" s="23"/>
      <c r="C542" s="23"/>
      <c r="D542" s="23"/>
      <c r="E542" s="23"/>
      <c r="F542" s="23"/>
      <c r="G542" s="108"/>
    </row>
    <row r="543">
      <c r="B543" s="23"/>
      <c r="C543" s="23"/>
      <c r="D543" s="23"/>
      <c r="E543" s="23"/>
      <c r="F543" s="23"/>
      <c r="G543" s="108"/>
    </row>
    <row r="544">
      <c r="B544" s="23"/>
      <c r="C544" s="23"/>
      <c r="D544" s="23"/>
      <c r="E544" s="23"/>
      <c r="F544" s="23"/>
      <c r="G544" s="108"/>
    </row>
    <row r="545">
      <c r="B545" s="23"/>
      <c r="C545" s="23"/>
      <c r="D545" s="23"/>
      <c r="E545" s="23"/>
      <c r="F545" s="23"/>
      <c r="G545" s="108"/>
    </row>
    <row r="546">
      <c r="B546" s="23"/>
      <c r="C546" s="23"/>
      <c r="D546" s="23"/>
      <c r="E546" s="23"/>
      <c r="F546" s="23"/>
      <c r="G546" s="108"/>
    </row>
    <row r="547">
      <c r="B547" s="23"/>
      <c r="C547" s="23"/>
      <c r="D547" s="23"/>
      <c r="E547" s="23"/>
      <c r="F547" s="23"/>
      <c r="G547" s="108"/>
    </row>
    <row r="548">
      <c r="B548" s="23"/>
      <c r="C548" s="23"/>
      <c r="D548" s="23"/>
      <c r="E548" s="23"/>
      <c r="F548" s="23"/>
      <c r="G548" s="108"/>
    </row>
    <row r="549">
      <c r="B549" s="23"/>
      <c r="C549" s="23"/>
      <c r="D549" s="23"/>
      <c r="E549" s="23"/>
      <c r="F549" s="23"/>
      <c r="G549" s="108"/>
    </row>
    <row r="550">
      <c r="B550" s="23"/>
      <c r="C550" s="23"/>
      <c r="D550" s="23"/>
      <c r="E550" s="23"/>
      <c r="F550" s="23"/>
      <c r="G550" s="108"/>
    </row>
    <row r="551">
      <c r="B551" s="23"/>
      <c r="C551" s="23"/>
      <c r="D551" s="23"/>
      <c r="E551" s="23"/>
      <c r="F551" s="23"/>
      <c r="G551" s="108"/>
    </row>
    <row r="552">
      <c r="B552" s="23"/>
      <c r="C552" s="23"/>
      <c r="D552" s="23"/>
      <c r="E552" s="23"/>
      <c r="F552" s="23"/>
      <c r="G552" s="108"/>
    </row>
    <row r="553">
      <c r="B553" s="23"/>
      <c r="C553" s="23"/>
      <c r="D553" s="23"/>
      <c r="E553" s="23"/>
      <c r="F553" s="23"/>
      <c r="G553" s="108"/>
    </row>
    <row r="554">
      <c r="B554" s="23"/>
      <c r="C554" s="23"/>
      <c r="D554" s="23"/>
      <c r="E554" s="23"/>
      <c r="F554" s="23"/>
      <c r="G554" s="108"/>
    </row>
    <row r="555">
      <c r="B555" s="23"/>
      <c r="C555" s="23"/>
      <c r="D555" s="23"/>
      <c r="E555" s="23"/>
      <c r="F555" s="23"/>
      <c r="G555" s="108"/>
    </row>
    <row r="556">
      <c r="B556" s="23"/>
      <c r="C556" s="23"/>
      <c r="D556" s="23"/>
      <c r="E556" s="23"/>
      <c r="F556" s="23"/>
      <c r="G556" s="108"/>
    </row>
    <row r="557">
      <c r="B557" s="23"/>
      <c r="C557" s="23"/>
      <c r="D557" s="23"/>
      <c r="E557" s="23"/>
      <c r="F557" s="23"/>
      <c r="G557" s="108"/>
    </row>
    <row r="558">
      <c r="B558" s="23"/>
      <c r="C558" s="23"/>
      <c r="D558" s="23"/>
      <c r="E558" s="23"/>
      <c r="F558" s="23"/>
      <c r="G558" s="108"/>
    </row>
    <row r="559">
      <c r="B559" s="23"/>
      <c r="C559" s="23"/>
      <c r="D559" s="23"/>
      <c r="E559" s="23"/>
      <c r="F559" s="23"/>
      <c r="G559" s="108"/>
    </row>
    <row r="560">
      <c r="B560" s="23"/>
      <c r="C560" s="23"/>
      <c r="D560" s="23"/>
      <c r="E560" s="23"/>
      <c r="F560" s="23"/>
      <c r="G560" s="108"/>
    </row>
    <row r="561">
      <c r="B561" s="23"/>
      <c r="C561" s="23"/>
      <c r="D561" s="23"/>
      <c r="E561" s="23"/>
      <c r="F561" s="23"/>
      <c r="G561" s="108"/>
    </row>
    <row r="562">
      <c r="B562" s="23"/>
      <c r="C562" s="23"/>
      <c r="D562" s="23"/>
      <c r="E562" s="23"/>
      <c r="F562" s="23"/>
      <c r="G562" s="108"/>
    </row>
    <row r="563">
      <c r="B563" s="23"/>
      <c r="C563" s="23"/>
      <c r="D563" s="23"/>
      <c r="E563" s="23"/>
      <c r="F563" s="23"/>
      <c r="G563" s="108"/>
    </row>
    <row r="564">
      <c r="B564" s="23"/>
      <c r="C564" s="23"/>
      <c r="D564" s="23"/>
      <c r="E564" s="23"/>
      <c r="F564" s="23"/>
      <c r="G564" s="108"/>
    </row>
    <row r="565">
      <c r="B565" s="23"/>
      <c r="C565" s="23"/>
      <c r="D565" s="23"/>
      <c r="E565" s="23"/>
      <c r="F565" s="23"/>
      <c r="G565" s="108"/>
    </row>
    <row r="566">
      <c r="B566" s="23"/>
      <c r="C566" s="23"/>
      <c r="D566" s="23"/>
      <c r="E566" s="23"/>
      <c r="F566" s="23"/>
      <c r="G566" s="108"/>
    </row>
    <row r="567">
      <c r="B567" s="23"/>
      <c r="C567" s="23"/>
      <c r="D567" s="23"/>
      <c r="E567" s="23"/>
      <c r="F567" s="23"/>
      <c r="G567" s="108"/>
    </row>
    <row r="568">
      <c r="B568" s="23"/>
      <c r="C568" s="23"/>
      <c r="D568" s="23"/>
      <c r="E568" s="23"/>
      <c r="F568" s="23"/>
      <c r="G568" s="108"/>
    </row>
    <row r="569">
      <c r="B569" s="23"/>
      <c r="C569" s="23"/>
      <c r="D569" s="23"/>
      <c r="E569" s="23"/>
      <c r="F569" s="23"/>
      <c r="G569" s="108"/>
    </row>
    <row r="570">
      <c r="B570" s="23"/>
      <c r="C570" s="23"/>
      <c r="D570" s="23"/>
      <c r="E570" s="23"/>
      <c r="F570" s="23"/>
      <c r="G570" s="108"/>
    </row>
    <row r="571">
      <c r="B571" s="23"/>
      <c r="C571" s="23"/>
      <c r="D571" s="23"/>
      <c r="E571" s="23"/>
      <c r="F571" s="23"/>
      <c r="G571" s="108"/>
    </row>
    <row r="572">
      <c r="B572" s="23"/>
      <c r="C572" s="23"/>
      <c r="D572" s="23"/>
      <c r="E572" s="23"/>
      <c r="F572" s="23"/>
      <c r="G572" s="108"/>
    </row>
    <row r="573">
      <c r="B573" s="23"/>
      <c r="C573" s="23"/>
      <c r="D573" s="23"/>
      <c r="E573" s="23"/>
      <c r="F573" s="23"/>
      <c r="G573" s="108"/>
    </row>
    <row r="574">
      <c r="B574" s="23"/>
      <c r="C574" s="23"/>
      <c r="D574" s="23"/>
      <c r="E574" s="23"/>
      <c r="F574" s="23"/>
      <c r="G574" s="108"/>
    </row>
    <row r="575">
      <c r="B575" s="23"/>
      <c r="C575" s="23"/>
      <c r="D575" s="23"/>
      <c r="E575" s="23"/>
      <c r="F575" s="23"/>
      <c r="G575" s="108"/>
    </row>
    <row r="576">
      <c r="B576" s="23"/>
      <c r="C576" s="23"/>
      <c r="D576" s="23"/>
      <c r="E576" s="23"/>
      <c r="F576" s="23"/>
      <c r="G576" s="108"/>
    </row>
    <row r="577">
      <c r="B577" s="23"/>
      <c r="C577" s="23"/>
      <c r="D577" s="23"/>
      <c r="E577" s="23"/>
      <c r="F577" s="23"/>
      <c r="G577" s="108"/>
    </row>
    <row r="578">
      <c r="B578" s="23"/>
      <c r="C578" s="23"/>
      <c r="D578" s="23"/>
      <c r="E578" s="23"/>
      <c r="F578" s="23"/>
      <c r="G578" s="108"/>
    </row>
    <row r="579">
      <c r="B579" s="23"/>
      <c r="C579" s="23"/>
      <c r="D579" s="23"/>
      <c r="E579" s="23"/>
      <c r="F579" s="23"/>
      <c r="G579" s="108"/>
    </row>
    <row r="580">
      <c r="B580" s="23"/>
      <c r="C580" s="23"/>
      <c r="D580" s="23"/>
      <c r="E580" s="23"/>
      <c r="F580" s="23"/>
      <c r="G580" s="108"/>
    </row>
    <row r="581">
      <c r="B581" s="23"/>
      <c r="C581" s="23"/>
      <c r="D581" s="23"/>
      <c r="E581" s="23"/>
      <c r="F581" s="23"/>
      <c r="G581" s="108"/>
    </row>
    <row r="582">
      <c r="B582" s="23"/>
      <c r="C582" s="23"/>
      <c r="D582" s="23"/>
      <c r="E582" s="23"/>
      <c r="F582" s="23"/>
      <c r="G582" s="108"/>
    </row>
    <row r="583">
      <c r="B583" s="23"/>
      <c r="C583" s="23"/>
      <c r="D583" s="23"/>
      <c r="E583" s="23"/>
      <c r="F583" s="23"/>
      <c r="G583" s="108"/>
    </row>
    <row r="584">
      <c r="B584" s="23"/>
      <c r="C584" s="23"/>
      <c r="D584" s="23"/>
      <c r="E584" s="23"/>
      <c r="F584" s="23"/>
      <c r="G584" s="108"/>
    </row>
    <row r="585">
      <c r="B585" s="23"/>
      <c r="C585" s="23"/>
      <c r="D585" s="23"/>
      <c r="E585" s="23"/>
      <c r="F585" s="23"/>
      <c r="G585" s="108"/>
    </row>
    <row r="586">
      <c r="B586" s="23"/>
      <c r="C586" s="23"/>
      <c r="D586" s="23"/>
      <c r="E586" s="23"/>
      <c r="F586" s="23"/>
      <c r="G586" s="108"/>
    </row>
    <row r="587">
      <c r="B587" s="23"/>
      <c r="C587" s="23"/>
      <c r="D587" s="23"/>
      <c r="E587" s="23"/>
      <c r="F587" s="23"/>
      <c r="G587" s="108"/>
    </row>
    <row r="588">
      <c r="B588" s="23"/>
      <c r="C588" s="23"/>
      <c r="D588" s="23"/>
      <c r="E588" s="23"/>
      <c r="F588" s="23"/>
      <c r="G588" s="108"/>
    </row>
    <row r="589">
      <c r="B589" s="23"/>
      <c r="C589" s="23"/>
      <c r="D589" s="23"/>
      <c r="E589" s="23"/>
      <c r="F589" s="23"/>
      <c r="G589" s="108"/>
    </row>
    <row r="590">
      <c r="B590" s="23"/>
      <c r="C590" s="23"/>
      <c r="D590" s="23"/>
      <c r="E590" s="23"/>
      <c r="F590" s="23"/>
      <c r="G590" s="108"/>
    </row>
    <row r="591">
      <c r="B591" s="23"/>
      <c r="C591" s="23"/>
      <c r="D591" s="23"/>
      <c r="E591" s="23"/>
      <c r="F591" s="23"/>
      <c r="G591" s="108"/>
    </row>
    <row r="592">
      <c r="B592" s="23"/>
      <c r="C592" s="23"/>
      <c r="D592" s="23"/>
      <c r="E592" s="23"/>
      <c r="F592" s="23"/>
      <c r="G592" s="108"/>
    </row>
    <row r="593">
      <c r="B593" s="23"/>
      <c r="C593" s="23"/>
      <c r="D593" s="23"/>
      <c r="E593" s="23"/>
      <c r="F593" s="23"/>
      <c r="G593" s="108"/>
    </row>
    <row r="594">
      <c r="B594" s="23"/>
      <c r="C594" s="23"/>
      <c r="D594" s="23"/>
      <c r="E594" s="23"/>
      <c r="F594" s="23"/>
      <c r="G594" s="108"/>
    </row>
    <row r="595">
      <c r="B595" s="23"/>
      <c r="C595" s="23"/>
      <c r="D595" s="23"/>
      <c r="E595" s="23"/>
      <c r="F595" s="23"/>
      <c r="G595" s="108"/>
    </row>
    <row r="596">
      <c r="B596" s="23"/>
      <c r="C596" s="23"/>
      <c r="D596" s="23"/>
      <c r="E596" s="23"/>
      <c r="F596" s="23"/>
      <c r="G596" s="108"/>
    </row>
    <row r="597">
      <c r="B597" s="23"/>
      <c r="C597" s="23"/>
      <c r="D597" s="23"/>
      <c r="E597" s="23"/>
      <c r="F597" s="23"/>
      <c r="G597" s="108"/>
    </row>
    <row r="598">
      <c r="B598" s="23"/>
      <c r="C598" s="23"/>
      <c r="D598" s="23"/>
      <c r="E598" s="23"/>
      <c r="F598" s="23"/>
      <c r="G598" s="108"/>
    </row>
    <row r="599">
      <c r="B599" s="23"/>
      <c r="C599" s="23"/>
      <c r="D599" s="23"/>
      <c r="E599" s="23"/>
      <c r="F599" s="23"/>
      <c r="G599" s="108"/>
    </row>
    <row r="600">
      <c r="B600" s="23"/>
      <c r="C600" s="23"/>
      <c r="D600" s="23"/>
      <c r="E600" s="23"/>
      <c r="F600" s="23"/>
      <c r="G600" s="108"/>
    </row>
    <row r="601">
      <c r="B601" s="23"/>
      <c r="C601" s="23"/>
      <c r="D601" s="23"/>
      <c r="E601" s="23"/>
      <c r="F601" s="23"/>
      <c r="G601" s="108"/>
    </row>
    <row r="602">
      <c r="B602" s="23"/>
      <c r="C602" s="23"/>
      <c r="D602" s="23"/>
      <c r="E602" s="23"/>
      <c r="F602" s="23"/>
      <c r="G602" s="108"/>
    </row>
    <row r="603">
      <c r="B603" s="23"/>
      <c r="C603" s="23"/>
      <c r="D603" s="23"/>
      <c r="E603" s="23"/>
      <c r="F603" s="23"/>
      <c r="G603" s="108"/>
    </row>
    <row r="604">
      <c r="B604" s="23"/>
      <c r="C604" s="23"/>
      <c r="D604" s="23"/>
      <c r="E604" s="23"/>
      <c r="F604" s="23"/>
      <c r="G604" s="108"/>
    </row>
    <row r="605">
      <c r="B605" s="23"/>
      <c r="C605" s="23"/>
      <c r="D605" s="23"/>
      <c r="E605" s="23"/>
      <c r="F605" s="23"/>
      <c r="G605" s="108"/>
    </row>
    <row r="606">
      <c r="B606" s="23"/>
      <c r="C606" s="23"/>
      <c r="D606" s="23"/>
      <c r="E606" s="23"/>
      <c r="F606" s="23"/>
      <c r="G606" s="108"/>
    </row>
    <row r="607">
      <c r="B607" s="23"/>
      <c r="C607" s="23"/>
      <c r="D607" s="23"/>
      <c r="E607" s="23"/>
      <c r="F607" s="23"/>
      <c r="G607" s="108"/>
    </row>
    <row r="608">
      <c r="B608" s="23"/>
      <c r="C608" s="23"/>
      <c r="D608" s="23"/>
      <c r="E608" s="23"/>
      <c r="F608" s="23"/>
      <c r="G608" s="108"/>
    </row>
    <row r="609">
      <c r="B609" s="23"/>
      <c r="C609" s="23"/>
      <c r="D609" s="23"/>
      <c r="E609" s="23"/>
      <c r="F609" s="23"/>
      <c r="G609" s="108"/>
    </row>
    <row r="610">
      <c r="B610" s="23"/>
      <c r="C610" s="23"/>
      <c r="D610" s="23"/>
      <c r="E610" s="23"/>
      <c r="F610" s="23"/>
      <c r="G610" s="108"/>
    </row>
    <row r="611">
      <c r="B611" s="23"/>
      <c r="C611" s="23"/>
      <c r="D611" s="23"/>
      <c r="E611" s="23"/>
      <c r="F611" s="23"/>
      <c r="G611" s="108"/>
    </row>
    <row r="612">
      <c r="B612" s="23"/>
      <c r="C612" s="23"/>
      <c r="D612" s="23"/>
      <c r="E612" s="23"/>
      <c r="F612" s="23"/>
      <c r="G612" s="108"/>
    </row>
    <row r="613">
      <c r="B613" s="23"/>
      <c r="C613" s="23"/>
      <c r="D613" s="23"/>
      <c r="E613" s="23"/>
      <c r="F613" s="23"/>
      <c r="G613" s="108"/>
    </row>
    <row r="614">
      <c r="B614" s="23"/>
      <c r="C614" s="23"/>
      <c r="D614" s="23"/>
      <c r="E614" s="23"/>
      <c r="F614" s="23"/>
      <c r="G614" s="108"/>
    </row>
    <row r="615">
      <c r="B615" s="23"/>
      <c r="C615" s="23"/>
      <c r="D615" s="23"/>
      <c r="E615" s="23"/>
      <c r="F615" s="23"/>
      <c r="G615" s="108"/>
    </row>
    <row r="616">
      <c r="B616" s="23"/>
      <c r="C616" s="23"/>
      <c r="D616" s="23"/>
      <c r="E616" s="23"/>
      <c r="F616" s="23"/>
      <c r="G616" s="108"/>
    </row>
    <row r="617">
      <c r="B617" s="23"/>
      <c r="C617" s="23"/>
      <c r="D617" s="23"/>
      <c r="E617" s="23"/>
      <c r="F617" s="23"/>
      <c r="G617" s="108"/>
    </row>
    <row r="618">
      <c r="B618" s="23"/>
      <c r="C618" s="23"/>
      <c r="D618" s="23"/>
      <c r="E618" s="23"/>
      <c r="F618" s="23"/>
      <c r="G618" s="108"/>
    </row>
    <row r="619">
      <c r="B619" s="23"/>
      <c r="C619" s="23"/>
      <c r="D619" s="23"/>
      <c r="E619" s="23"/>
      <c r="F619" s="23"/>
      <c r="G619" s="108"/>
    </row>
    <row r="620">
      <c r="B620" s="23"/>
      <c r="C620" s="23"/>
      <c r="D620" s="23"/>
      <c r="E620" s="23"/>
      <c r="F620" s="23"/>
      <c r="G620" s="108"/>
    </row>
    <row r="621">
      <c r="B621" s="23"/>
      <c r="C621" s="23"/>
      <c r="D621" s="23"/>
      <c r="E621" s="23"/>
      <c r="F621" s="23"/>
      <c r="G621" s="108"/>
    </row>
    <row r="622">
      <c r="B622" s="23"/>
      <c r="C622" s="23"/>
      <c r="D622" s="23"/>
      <c r="E622" s="23"/>
      <c r="F622" s="23"/>
      <c r="G622" s="108"/>
    </row>
    <row r="623">
      <c r="B623" s="23"/>
      <c r="C623" s="23"/>
      <c r="D623" s="23"/>
      <c r="E623" s="23"/>
      <c r="F623" s="23"/>
      <c r="G623" s="108"/>
    </row>
    <row r="624">
      <c r="B624" s="23"/>
      <c r="C624" s="23"/>
      <c r="D624" s="23"/>
      <c r="E624" s="23"/>
      <c r="F624" s="23"/>
      <c r="G624" s="108"/>
    </row>
    <row r="625">
      <c r="B625" s="23"/>
      <c r="C625" s="23"/>
      <c r="D625" s="23"/>
      <c r="E625" s="23"/>
      <c r="F625" s="23"/>
      <c r="G625" s="108"/>
    </row>
    <row r="626">
      <c r="B626" s="23"/>
      <c r="C626" s="23"/>
      <c r="D626" s="23"/>
      <c r="E626" s="23"/>
      <c r="F626" s="23"/>
      <c r="G626" s="108"/>
    </row>
    <row r="627">
      <c r="B627" s="23"/>
      <c r="C627" s="23"/>
      <c r="D627" s="23"/>
      <c r="E627" s="23"/>
      <c r="F627" s="23"/>
      <c r="G627" s="108"/>
    </row>
    <row r="628">
      <c r="B628" s="23"/>
      <c r="C628" s="23"/>
      <c r="D628" s="23"/>
      <c r="E628" s="23"/>
      <c r="F628" s="23"/>
      <c r="G628" s="108"/>
    </row>
    <row r="629">
      <c r="B629" s="23"/>
      <c r="C629" s="23"/>
      <c r="D629" s="23"/>
      <c r="E629" s="23"/>
      <c r="F629" s="23"/>
      <c r="G629" s="108"/>
    </row>
    <row r="630">
      <c r="B630" s="23"/>
      <c r="C630" s="23"/>
      <c r="D630" s="23"/>
      <c r="E630" s="23"/>
      <c r="F630" s="23"/>
      <c r="G630" s="108"/>
    </row>
    <row r="631">
      <c r="B631" s="23"/>
      <c r="C631" s="23"/>
      <c r="D631" s="23"/>
      <c r="E631" s="23"/>
      <c r="F631" s="23"/>
      <c r="G631" s="108"/>
    </row>
    <row r="632">
      <c r="B632" s="23"/>
      <c r="C632" s="23"/>
      <c r="D632" s="23"/>
      <c r="E632" s="23"/>
      <c r="F632" s="23"/>
      <c r="G632" s="108"/>
    </row>
    <row r="633">
      <c r="B633" s="23"/>
      <c r="C633" s="23"/>
      <c r="D633" s="23"/>
      <c r="E633" s="23"/>
      <c r="F633" s="23"/>
      <c r="G633" s="108"/>
    </row>
    <row r="634">
      <c r="B634" s="23"/>
      <c r="C634" s="23"/>
      <c r="D634" s="23"/>
      <c r="E634" s="23"/>
      <c r="F634" s="23"/>
      <c r="G634" s="108"/>
    </row>
    <row r="635">
      <c r="B635" s="23"/>
      <c r="C635" s="23"/>
      <c r="D635" s="23"/>
      <c r="E635" s="23"/>
      <c r="F635" s="23"/>
      <c r="G635" s="108"/>
    </row>
    <row r="636">
      <c r="B636" s="23"/>
      <c r="C636" s="23"/>
      <c r="D636" s="23"/>
      <c r="E636" s="23"/>
      <c r="F636" s="23"/>
      <c r="G636" s="108"/>
    </row>
    <row r="637">
      <c r="B637" s="23"/>
      <c r="C637" s="23"/>
      <c r="D637" s="23"/>
      <c r="E637" s="23"/>
      <c r="F637" s="23"/>
      <c r="G637" s="108"/>
    </row>
    <row r="638">
      <c r="B638" s="23"/>
      <c r="C638" s="23"/>
      <c r="D638" s="23"/>
      <c r="E638" s="23"/>
      <c r="F638" s="23"/>
      <c r="G638" s="108"/>
    </row>
    <row r="639">
      <c r="B639" s="23"/>
      <c r="C639" s="23"/>
      <c r="D639" s="23"/>
      <c r="E639" s="23"/>
      <c r="F639" s="23"/>
      <c r="G639" s="108"/>
    </row>
    <row r="640">
      <c r="B640" s="23"/>
      <c r="C640" s="23"/>
      <c r="D640" s="23"/>
      <c r="E640" s="23"/>
      <c r="F640" s="23"/>
      <c r="G640" s="108"/>
    </row>
    <row r="641">
      <c r="B641" s="23"/>
      <c r="C641" s="23"/>
      <c r="D641" s="23"/>
      <c r="E641" s="23"/>
      <c r="F641" s="23"/>
      <c r="G641" s="108"/>
    </row>
    <row r="642">
      <c r="B642" s="23"/>
      <c r="C642" s="23"/>
      <c r="D642" s="23"/>
      <c r="E642" s="23"/>
      <c r="F642" s="23"/>
      <c r="G642" s="108"/>
    </row>
    <row r="643">
      <c r="B643" s="23"/>
      <c r="C643" s="23"/>
      <c r="D643" s="23"/>
      <c r="E643" s="23"/>
      <c r="F643" s="23"/>
      <c r="G643" s="108"/>
    </row>
    <row r="644">
      <c r="B644" s="23"/>
      <c r="C644" s="23"/>
      <c r="D644" s="23"/>
      <c r="E644" s="23"/>
      <c r="F644" s="23"/>
      <c r="G644" s="108"/>
    </row>
    <row r="645">
      <c r="B645" s="23"/>
      <c r="C645" s="23"/>
      <c r="D645" s="23"/>
      <c r="E645" s="23"/>
      <c r="F645" s="23"/>
      <c r="G645" s="108"/>
    </row>
    <row r="646">
      <c r="B646" s="23"/>
      <c r="C646" s="23"/>
      <c r="D646" s="23"/>
      <c r="E646" s="23"/>
      <c r="F646" s="23"/>
      <c r="G646" s="108"/>
    </row>
    <row r="647">
      <c r="B647" s="23"/>
      <c r="C647" s="23"/>
      <c r="D647" s="23"/>
      <c r="E647" s="23"/>
      <c r="F647" s="23"/>
      <c r="G647" s="108"/>
    </row>
    <row r="648">
      <c r="B648" s="23"/>
      <c r="C648" s="23"/>
      <c r="D648" s="23"/>
      <c r="E648" s="23"/>
      <c r="F648" s="23"/>
      <c r="G648" s="108"/>
    </row>
    <row r="649">
      <c r="B649" s="23"/>
      <c r="C649" s="23"/>
      <c r="D649" s="23"/>
      <c r="E649" s="23"/>
      <c r="F649" s="23"/>
      <c r="G649" s="108"/>
    </row>
    <row r="650">
      <c r="B650" s="23"/>
      <c r="C650" s="23"/>
      <c r="D650" s="23"/>
      <c r="E650" s="23"/>
      <c r="F650" s="23"/>
      <c r="G650" s="108"/>
    </row>
    <row r="651">
      <c r="B651" s="23"/>
      <c r="C651" s="23"/>
      <c r="D651" s="23"/>
      <c r="E651" s="23"/>
      <c r="F651" s="23"/>
      <c r="G651" s="108"/>
    </row>
    <row r="652">
      <c r="B652" s="23"/>
      <c r="C652" s="23"/>
      <c r="D652" s="23"/>
      <c r="E652" s="23"/>
      <c r="F652" s="23"/>
      <c r="G652" s="108"/>
    </row>
    <row r="653">
      <c r="B653" s="23"/>
      <c r="C653" s="23"/>
      <c r="D653" s="23"/>
      <c r="E653" s="23"/>
      <c r="F653" s="23"/>
      <c r="G653" s="108"/>
    </row>
    <row r="654">
      <c r="B654" s="23"/>
      <c r="C654" s="23"/>
      <c r="D654" s="23"/>
      <c r="E654" s="23"/>
      <c r="F654" s="23"/>
      <c r="G654" s="108"/>
    </row>
    <row r="655">
      <c r="B655" s="23"/>
      <c r="C655" s="23"/>
      <c r="D655" s="23"/>
      <c r="E655" s="23"/>
      <c r="F655" s="23"/>
      <c r="G655" s="108"/>
    </row>
    <row r="656">
      <c r="B656" s="23"/>
      <c r="C656" s="23"/>
      <c r="D656" s="23"/>
      <c r="E656" s="23"/>
      <c r="F656" s="23"/>
      <c r="G656" s="108"/>
    </row>
    <row r="657">
      <c r="B657" s="23"/>
      <c r="C657" s="23"/>
      <c r="D657" s="23"/>
      <c r="E657" s="23"/>
      <c r="F657" s="23"/>
      <c r="G657" s="108"/>
    </row>
    <row r="658">
      <c r="B658" s="23"/>
      <c r="C658" s="23"/>
      <c r="D658" s="23"/>
      <c r="E658" s="23"/>
      <c r="F658" s="23"/>
      <c r="G658" s="108"/>
    </row>
    <row r="659">
      <c r="B659" s="23"/>
      <c r="C659" s="23"/>
      <c r="D659" s="23"/>
      <c r="E659" s="23"/>
      <c r="F659" s="23"/>
      <c r="G659" s="108"/>
    </row>
    <row r="660">
      <c r="B660" s="23"/>
      <c r="C660" s="23"/>
      <c r="D660" s="23"/>
      <c r="E660" s="23"/>
      <c r="F660" s="23"/>
      <c r="G660" s="108"/>
    </row>
    <row r="661">
      <c r="B661" s="23"/>
      <c r="C661" s="23"/>
      <c r="D661" s="23"/>
      <c r="E661" s="23"/>
      <c r="F661" s="23"/>
      <c r="G661" s="108"/>
    </row>
    <row r="662">
      <c r="B662" s="23"/>
      <c r="C662" s="23"/>
      <c r="D662" s="23"/>
      <c r="E662" s="23"/>
      <c r="F662" s="23"/>
      <c r="G662" s="108"/>
    </row>
    <row r="663">
      <c r="B663" s="23"/>
      <c r="C663" s="23"/>
      <c r="D663" s="23"/>
      <c r="E663" s="23"/>
      <c r="F663" s="23"/>
      <c r="G663" s="108"/>
    </row>
    <row r="664">
      <c r="B664" s="23"/>
      <c r="C664" s="23"/>
      <c r="D664" s="23"/>
      <c r="E664" s="23"/>
      <c r="F664" s="23"/>
      <c r="G664" s="108"/>
    </row>
    <row r="665">
      <c r="B665" s="23"/>
      <c r="C665" s="23"/>
      <c r="D665" s="23"/>
      <c r="E665" s="23"/>
      <c r="F665" s="23"/>
      <c r="G665" s="108"/>
    </row>
    <row r="666">
      <c r="B666" s="23"/>
      <c r="C666" s="23"/>
      <c r="D666" s="23"/>
      <c r="E666" s="23"/>
      <c r="F666" s="23"/>
      <c r="G666" s="108"/>
    </row>
    <row r="667">
      <c r="B667" s="23"/>
      <c r="C667" s="23"/>
      <c r="D667" s="23"/>
      <c r="E667" s="23"/>
      <c r="F667" s="23"/>
      <c r="G667" s="108"/>
    </row>
    <row r="668">
      <c r="B668" s="23"/>
      <c r="C668" s="23"/>
      <c r="D668" s="23"/>
      <c r="E668" s="23"/>
      <c r="F668" s="23"/>
      <c r="G668" s="108"/>
    </row>
    <row r="669">
      <c r="B669" s="23"/>
      <c r="C669" s="23"/>
      <c r="D669" s="23"/>
      <c r="E669" s="23"/>
      <c r="F669" s="23"/>
      <c r="G669" s="108"/>
    </row>
    <row r="670">
      <c r="B670" s="23"/>
      <c r="C670" s="23"/>
      <c r="D670" s="23"/>
      <c r="E670" s="23"/>
      <c r="F670" s="23"/>
      <c r="G670" s="108"/>
    </row>
    <row r="671">
      <c r="B671" s="23"/>
      <c r="C671" s="23"/>
      <c r="D671" s="23"/>
      <c r="E671" s="23"/>
      <c r="F671" s="23"/>
      <c r="G671" s="108"/>
    </row>
    <row r="672">
      <c r="B672" s="23"/>
      <c r="C672" s="23"/>
      <c r="D672" s="23"/>
      <c r="E672" s="23"/>
      <c r="F672" s="23"/>
      <c r="G672" s="108"/>
    </row>
    <row r="673">
      <c r="B673" s="23"/>
      <c r="C673" s="23"/>
      <c r="D673" s="23"/>
      <c r="E673" s="23"/>
      <c r="F673" s="23"/>
      <c r="G673" s="108"/>
    </row>
    <row r="674">
      <c r="B674" s="23"/>
      <c r="C674" s="23"/>
      <c r="D674" s="23"/>
      <c r="E674" s="23"/>
      <c r="F674" s="23"/>
      <c r="G674" s="108"/>
    </row>
    <row r="675">
      <c r="B675" s="23"/>
      <c r="C675" s="23"/>
      <c r="D675" s="23"/>
      <c r="E675" s="23"/>
      <c r="F675" s="23"/>
      <c r="G675" s="108"/>
    </row>
    <row r="676">
      <c r="B676" s="23"/>
      <c r="C676" s="23"/>
      <c r="D676" s="23"/>
      <c r="E676" s="23"/>
      <c r="F676" s="23"/>
      <c r="G676" s="108"/>
    </row>
    <row r="677">
      <c r="B677" s="23"/>
      <c r="C677" s="23"/>
      <c r="D677" s="23"/>
      <c r="E677" s="23"/>
      <c r="F677" s="23"/>
      <c r="G677" s="108"/>
    </row>
    <row r="678">
      <c r="B678" s="23"/>
      <c r="C678" s="23"/>
      <c r="D678" s="23"/>
      <c r="E678" s="23"/>
      <c r="F678" s="23"/>
      <c r="G678" s="108"/>
    </row>
    <row r="679">
      <c r="B679" s="23"/>
      <c r="C679" s="23"/>
      <c r="D679" s="23"/>
      <c r="E679" s="23"/>
      <c r="F679" s="23"/>
      <c r="G679" s="108"/>
    </row>
    <row r="680">
      <c r="B680" s="23"/>
      <c r="C680" s="23"/>
      <c r="D680" s="23"/>
      <c r="E680" s="23"/>
      <c r="F680" s="23"/>
      <c r="G680" s="108"/>
    </row>
    <row r="681">
      <c r="B681" s="23"/>
      <c r="C681" s="23"/>
      <c r="D681" s="23"/>
      <c r="E681" s="23"/>
      <c r="F681" s="23"/>
      <c r="G681" s="108"/>
    </row>
    <row r="682">
      <c r="B682" s="23"/>
      <c r="C682" s="23"/>
      <c r="D682" s="23"/>
      <c r="E682" s="23"/>
      <c r="F682" s="23"/>
      <c r="G682" s="108"/>
    </row>
    <row r="683">
      <c r="B683" s="23"/>
      <c r="C683" s="23"/>
      <c r="D683" s="23"/>
      <c r="E683" s="23"/>
      <c r="F683" s="23"/>
      <c r="G683" s="108"/>
    </row>
    <row r="684">
      <c r="B684" s="23"/>
      <c r="C684" s="23"/>
      <c r="D684" s="23"/>
      <c r="E684" s="23"/>
      <c r="F684" s="23"/>
      <c r="G684" s="108"/>
    </row>
    <row r="685">
      <c r="B685" s="23"/>
      <c r="C685" s="23"/>
      <c r="D685" s="23"/>
      <c r="E685" s="23"/>
      <c r="F685" s="23"/>
      <c r="G685" s="108"/>
    </row>
    <row r="686">
      <c r="B686" s="23"/>
      <c r="C686" s="23"/>
      <c r="D686" s="23"/>
      <c r="E686" s="23"/>
      <c r="F686" s="23"/>
      <c r="G686" s="108"/>
    </row>
    <row r="687">
      <c r="B687" s="23"/>
      <c r="C687" s="23"/>
      <c r="D687" s="23"/>
      <c r="E687" s="23"/>
      <c r="F687" s="23"/>
      <c r="G687" s="108"/>
    </row>
    <row r="688">
      <c r="B688" s="23"/>
      <c r="C688" s="23"/>
      <c r="D688" s="23"/>
      <c r="E688" s="23"/>
      <c r="F688" s="23"/>
      <c r="G688" s="108"/>
    </row>
    <row r="689">
      <c r="B689" s="23"/>
      <c r="C689" s="23"/>
      <c r="D689" s="23"/>
      <c r="E689" s="23"/>
      <c r="F689" s="23"/>
      <c r="G689" s="108"/>
    </row>
    <row r="690">
      <c r="B690" s="23"/>
      <c r="C690" s="23"/>
      <c r="D690" s="23"/>
      <c r="E690" s="23"/>
      <c r="F690" s="23"/>
      <c r="G690" s="108"/>
    </row>
    <row r="691">
      <c r="B691" s="23"/>
      <c r="C691" s="23"/>
      <c r="D691" s="23"/>
      <c r="E691" s="23"/>
      <c r="F691" s="23"/>
      <c r="G691" s="108"/>
    </row>
    <row r="692">
      <c r="B692" s="23"/>
      <c r="C692" s="23"/>
      <c r="D692" s="23"/>
      <c r="E692" s="23"/>
      <c r="F692" s="23"/>
      <c r="G692" s="108"/>
    </row>
    <row r="693">
      <c r="B693" s="23"/>
      <c r="C693" s="23"/>
      <c r="D693" s="23"/>
      <c r="E693" s="23"/>
      <c r="F693" s="23"/>
      <c r="G693" s="108"/>
    </row>
    <row r="694">
      <c r="B694" s="23"/>
      <c r="C694" s="23"/>
      <c r="D694" s="23"/>
      <c r="E694" s="23"/>
      <c r="F694" s="23"/>
      <c r="G694" s="108"/>
    </row>
    <row r="695">
      <c r="B695" s="23"/>
      <c r="C695" s="23"/>
      <c r="D695" s="23"/>
      <c r="E695" s="23"/>
      <c r="F695" s="23"/>
      <c r="G695" s="108"/>
    </row>
    <row r="696">
      <c r="B696" s="23"/>
      <c r="C696" s="23"/>
      <c r="D696" s="23"/>
      <c r="E696" s="23"/>
      <c r="F696" s="23"/>
      <c r="G696" s="108"/>
    </row>
    <row r="697">
      <c r="B697" s="23"/>
      <c r="C697" s="23"/>
      <c r="D697" s="23"/>
      <c r="E697" s="23"/>
      <c r="F697" s="23"/>
      <c r="G697" s="108"/>
    </row>
    <row r="698">
      <c r="B698" s="23"/>
      <c r="C698" s="23"/>
      <c r="D698" s="23"/>
      <c r="E698" s="23"/>
      <c r="F698" s="23"/>
      <c r="G698" s="108"/>
    </row>
    <row r="699">
      <c r="B699" s="23"/>
      <c r="C699" s="23"/>
      <c r="D699" s="23"/>
      <c r="E699" s="23"/>
      <c r="F699" s="23"/>
      <c r="G699" s="108"/>
    </row>
    <row r="700">
      <c r="B700" s="23"/>
      <c r="C700" s="23"/>
      <c r="D700" s="23"/>
      <c r="E700" s="23"/>
      <c r="F700" s="23"/>
      <c r="G700" s="108"/>
    </row>
    <row r="701">
      <c r="B701" s="23"/>
      <c r="C701" s="23"/>
      <c r="D701" s="23"/>
      <c r="E701" s="23"/>
      <c r="F701" s="23"/>
      <c r="G701" s="108"/>
    </row>
    <row r="702">
      <c r="B702" s="23"/>
      <c r="C702" s="23"/>
      <c r="D702" s="23"/>
      <c r="E702" s="23"/>
      <c r="F702" s="23"/>
      <c r="G702" s="108"/>
    </row>
    <row r="703">
      <c r="B703" s="23"/>
      <c r="C703" s="23"/>
      <c r="D703" s="23"/>
      <c r="E703" s="23"/>
      <c r="F703" s="23"/>
      <c r="G703" s="108"/>
    </row>
    <row r="704">
      <c r="B704" s="23"/>
      <c r="C704" s="23"/>
      <c r="D704" s="23"/>
      <c r="E704" s="23"/>
      <c r="F704" s="23"/>
      <c r="G704" s="108"/>
    </row>
    <row r="705">
      <c r="B705" s="23"/>
      <c r="C705" s="23"/>
      <c r="D705" s="23"/>
      <c r="E705" s="23"/>
      <c r="F705" s="23"/>
      <c r="G705" s="108"/>
    </row>
    <row r="706">
      <c r="B706" s="23"/>
      <c r="C706" s="23"/>
      <c r="D706" s="23"/>
      <c r="E706" s="23"/>
      <c r="F706" s="23"/>
      <c r="G706" s="108"/>
    </row>
    <row r="707">
      <c r="B707" s="23"/>
      <c r="C707" s="23"/>
      <c r="D707" s="23"/>
      <c r="E707" s="23"/>
      <c r="F707" s="23"/>
      <c r="G707" s="108"/>
    </row>
    <row r="708">
      <c r="B708" s="23"/>
      <c r="C708" s="23"/>
      <c r="D708" s="23"/>
      <c r="E708" s="23"/>
      <c r="F708" s="23"/>
      <c r="G708" s="108"/>
    </row>
    <row r="709">
      <c r="B709" s="23"/>
      <c r="C709" s="23"/>
      <c r="D709" s="23"/>
      <c r="E709" s="23"/>
      <c r="F709" s="23"/>
      <c r="G709" s="108"/>
    </row>
    <row r="710">
      <c r="B710" s="23"/>
      <c r="C710" s="23"/>
      <c r="D710" s="23"/>
      <c r="E710" s="23"/>
      <c r="F710" s="23"/>
      <c r="G710" s="108"/>
    </row>
    <row r="711">
      <c r="B711" s="23"/>
      <c r="C711" s="23"/>
      <c r="D711" s="23"/>
      <c r="E711" s="23"/>
      <c r="F711" s="23"/>
      <c r="G711" s="108"/>
    </row>
    <row r="712">
      <c r="B712" s="23"/>
      <c r="C712" s="23"/>
      <c r="D712" s="23"/>
      <c r="E712" s="23"/>
      <c r="F712" s="23"/>
      <c r="G712" s="108"/>
    </row>
    <row r="713">
      <c r="B713" s="23"/>
      <c r="C713" s="23"/>
      <c r="D713" s="23"/>
      <c r="E713" s="23"/>
      <c r="F713" s="23"/>
      <c r="G713" s="108"/>
    </row>
    <row r="714">
      <c r="B714" s="23"/>
      <c r="C714" s="23"/>
      <c r="D714" s="23"/>
      <c r="E714" s="23"/>
      <c r="F714" s="23"/>
      <c r="G714" s="108"/>
    </row>
    <row r="715">
      <c r="B715" s="23"/>
      <c r="C715" s="23"/>
      <c r="D715" s="23"/>
      <c r="E715" s="23"/>
      <c r="F715" s="23"/>
      <c r="G715" s="108"/>
    </row>
    <row r="716">
      <c r="B716" s="23"/>
      <c r="C716" s="23"/>
      <c r="D716" s="23"/>
      <c r="E716" s="23"/>
      <c r="F716" s="23"/>
      <c r="G716" s="108"/>
    </row>
    <row r="717">
      <c r="B717" s="23"/>
      <c r="C717" s="23"/>
      <c r="D717" s="23"/>
      <c r="E717" s="23"/>
      <c r="F717" s="23"/>
      <c r="G717" s="108"/>
    </row>
    <row r="718">
      <c r="B718" s="23"/>
      <c r="C718" s="23"/>
      <c r="D718" s="23"/>
      <c r="E718" s="23"/>
      <c r="F718" s="23"/>
      <c r="G718" s="108"/>
    </row>
    <row r="719">
      <c r="B719" s="23"/>
      <c r="C719" s="23"/>
      <c r="D719" s="23"/>
      <c r="E719" s="23"/>
      <c r="F719" s="23"/>
      <c r="G719" s="108"/>
    </row>
    <row r="720">
      <c r="B720" s="23"/>
      <c r="C720" s="23"/>
      <c r="D720" s="23"/>
      <c r="E720" s="23"/>
      <c r="F720" s="23"/>
      <c r="G720" s="108"/>
    </row>
    <row r="721">
      <c r="B721" s="23"/>
      <c r="C721" s="23"/>
      <c r="D721" s="23"/>
      <c r="E721" s="23"/>
      <c r="F721" s="23"/>
      <c r="G721" s="108"/>
    </row>
    <row r="722">
      <c r="B722" s="23"/>
      <c r="C722" s="23"/>
      <c r="D722" s="23"/>
      <c r="E722" s="23"/>
      <c r="F722" s="23"/>
      <c r="G722" s="108"/>
    </row>
    <row r="723">
      <c r="B723" s="23"/>
      <c r="C723" s="23"/>
      <c r="D723" s="23"/>
      <c r="E723" s="23"/>
      <c r="F723" s="23"/>
      <c r="G723" s="108"/>
    </row>
    <row r="724">
      <c r="B724" s="23"/>
      <c r="C724" s="23"/>
      <c r="D724" s="23"/>
      <c r="E724" s="23"/>
      <c r="F724" s="23"/>
      <c r="G724" s="108"/>
    </row>
    <row r="725">
      <c r="B725" s="23"/>
      <c r="C725" s="23"/>
      <c r="D725" s="23"/>
      <c r="E725" s="23"/>
      <c r="F725" s="23"/>
      <c r="G725" s="108"/>
    </row>
    <row r="726">
      <c r="B726" s="23"/>
      <c r="C726" s="23"/>
      <c r="D726" s="23"/>
      <c r="E726" s="23"/>
      <c r="F726" s="23"/>
      <c r="G726" s="108"/>
    </row>
    <row r="727">
      <c r="B727" s="23"/>
      <c r="C727" s="23"/>
      <c r="D727" s="23"/>
      <c r="E727" s="23"/>
      <c r="F727" s="23"/>
      <c r="G727" s="108"/>
    </row>
    <row r="728">
      <c r="B728" s="23"/>
      <c r="C728" s="23"/>
      <c r="D728" s="23"/>
      <c r="E728" s="23"/>
      <c r="F728" s="23"/>
      <c r="G728" s="108"/>
    </row>
    <row r="729">
      <c r="B729" s="23"/>
      <c r="C729" s="23"/>
      <c r="D729" s="23"/>
      <c r="E729" s="23"/>
      <c r="F729" s="23"/>
      <c r="G729" s="108"/>
    </row>
    <row r="730">
      <c r="B730" s="23"/>
      <c r="C730" s="23"/>
      <c r="D730" s="23"/>
      <c r="E730" s="23"/>
      <c r="F730" s="23"/>
      <c r="G730" s="108"/>
    </row>
    <row r="731">
      <c r="B731" s="23"/>
      <c r="C731" s="23"/>
      <c r="D731" s="23"/>
      <c r="E731" s="23"/>
      <c r="F731" s="23"/>
      <c r="G731" s="108"/>
    </row>
    <row r="732">
      <c r="B732" s="23"/>
      <c r="C732" s="23"/>
      <c r="D732" s="23"/>
      <c r="E732" s="23"/>
      <c r="F732" s="23"/>
      <c r="G732" s="108"/>
    </row>
    <row r="733">
      <c r="B733" s="23"/>
      <c r="C733" s="23"/>
      <c r="D733" s="23"/>
      <c r="E733" s="23"/>
      <c r="F733" s="23"/>
      <c r="G733" s="108"/>
    </row>
    <row r="734">
      <c r="B734" s="23"/>
      <c r="C734" s="23"/>
      <c r="D734" s="23"/>
      <c r="E734" s="23"/>
      <c r="F734" s="23"/>
      <c r="G734" s="108"/>
    </row>
    <row r="735">
      <c r="B735" s="23"/>
      <c r="C735" s="23"/>
      <c r="D735" s="23"/>
      <c r="E735" s="23"/>
      <c r="F735" s="23"/>
      <c r="G735" s="108"/>
    </row>
    <row r="736">
      <c r="B736" s="23"/>
      <c r="C736" s="23"/>
      <c r="D736" s="23"/>
      <c r="E736" s="23"/>
      <c r="F736" s="23"/>
      <c r="G736" s="108"/>
    </row>
    <row r="737">
      <c r="B737" s="23"/>
      <c r="C737" s="23"/>
      <c r="D737" s="23"/>
      <c r="E737" s="23"/>
      <c r="F737" s="23"/>
      <c r="G737" s="108"/>
    </row>
    <row r="738">
      <c r="B738" s="23"/>
      <c r="C738" s="23"/>
      <c r="D738" s="23"/>
      <c r="E738" s="23"/>
      <c r="F738" s="23"/>
      <c r="G738" s="108"/>
    </row>
    <row r="739">
      <c r="B739" s="23"/>
      <c r="C739" s="23"/>
      <c r="D739" s="23"/>
      <c r="E739" s="23"/>
      <c r="F739" s="23"/>
      <c r="G739" s="108"/>
    </row>
    <row r="740">
      <c r="B740" s="23"/>
      <c r="C740" s="23"/>
      <c r="D740" s="23"/>
      <c r="E740" s="23"/>
      <c r="F740" s="23"/>
      <c r="G740" s="108"/>
    </row>
    <row r="741">
      <c r="B741" s="23"/>
      <c r="C741" s="23"/>
      <c r="D741" s="23"/>
      <c r="E741" s="23"/>
      <c r="F741" s="23"/>
      <c r="G741" s="108"/>
    </row>
    <row r="742">
      <c r="B742" s="23"/>
      <c r="C742" s="23"/>
      <c r="D742" s="23"/>
      <c r="E742" s="23"/>
      <c r="F742" s="23"/>
      <c r="G742" s="108"/>
    </row>
    <row r="743">
      <c r="B743" s="23"/>
      <c r="C743" s="23"/>
      <c r="D743" s="23"/>
      <c r="E743" s="23"/>
      <c r="F743" s="23"/>
      <c r="G743" s="108"/>
    </row>
    <row r="744">
      <c r="B744" s="23"/>
      <c r="C744" s="23"/>
      <c r="D744" s="23"/>
      <c r="E744" s="23"/>
      <c r="F744" s="23"/>
      <c r="G744" s="108"/>
    </row>
    <row r="745">
      <c r="B745" s="23"/>
      <c r="C745" s="23"/>
      <c r="D745" s="23"/>
      <c r="E745" s="23"/>
      <c r="F745" s="23"/>
      <c r="G745" s="108"/>
    </row>
    <row r="746">
      <c r="B746" s="23"/>
      <c r="C746" s="23"/>
      <c r="D746" s="23"/>
      <c r="E746" s="23"/>
      <c r="F746" s="23"/>
      <c r="G746" s="108"/>
    </row>
    <row r="747">
      <c r="B747" s="23"/>
      <c r="C747" s="23"/>
      <c r="D747" s="23"/>
      <c r="E747" s="23"/>
      <c r="F747" s="23"/>
      <c r="G747" s="108"/>
    </row>
    <row r="748">
      <c r="B748" s="23"/>
      <c r="C748" s="23"/>
      <c r="D748" s="23"/>
      <c r="E748" s="23"/>
      <c r="F748" s="23"/>
      <c r="G748" s="108"/>
    </row>
    <row r="749">
      <c r="B749" s="23"/>
      <c r="C749" s="23"/>
      <c r="D749" s="23"/>
      <c r="E749" s="23"/>
      <c r="F749" s="23"/>
      <c r="G749" s="108"/>
    </row>
    <row r="750">
      <c r="B750" s="23"/>
      <c r="C750" s="23"/>
      <c r="D750" s="23"/>
      <c r="E750" s="23"/>
      <c r="F750" s="23"/>
      <c r="G750" s="108"/>
    </row>
    <row r="751">
      <c r="B751" s="23"/>
      <c r="C751" s="23"/>
      <c r="D751" s="23"/>
      <c r="E751" s="23"/>
      <c r="F751" s="23"/>
      <c r="G751" s="108"/>
    </row>
    <row r="752">
      <c r="B752" s="23"/>
      <c r="C752" s="23"/>
      <c r="D752" s="23"/>
      <c r="E752" s="23"/>
      <c r="F752" s="23"/>
      <c r="G752" s="108"/>
    </row>
    <row r="753">
      <c r="B753" s="23"/>
      <c r="C753" s="23"/>
      <c r="D753" s="23"/>
      <c r="E753" s="23"/>
      <c r="F753" s="23"/>
      <c r="G753" s="108"/>
    </row>
    <row r="754">
      <c r="B754" s="23"/>
      <c r="C754" s="23"/>
      <c r="D754" s="23"/>
      <c r="E754" s="23"/>
      <c r="F754" s="23"/>
      <c r="G754" s="108"/>
    </row>
    <row r="755">
      <c r="B755" s="23"/>
      <c r="C755" s="23"/>
      <c r="D755" s="23"/>
      <c r="E755" s="23"/>
      <c r="F755" s="23"/>
      <c r="G755" s="108"/>
    </row>
    <row r="756">
      <c r="B756" s="23"/>
      <c r="C756" s="23"/>
      <c r="D756" s="23"/>
      <c r="E756" s="23"/>
      <c r="F756" s="23"/>
      <c r="G756" s="108"/>
    </row>
    <row r="757">
      <c r="B757" s="23"/>
      <c r="C757" s="23"/>
      <c r="D757" s="23"/>
      <c r="E757" s="23"/>
      <c r="F757" s="23"/>
      <c r="G757" s="108"/>
    </row>
    <row r="758">
      <c r="B758" s="23"/>
      <c r="C758" s="23"/>
      <c r="D758" s="23"/>
      <c r="E758" s="23"/>
      <c r="F758" s="23"/>
      <c r="G758" s="108"/>
    </row>
    <row r="759">
      <c r="B759" s="23"/>
      <c r="C759" s="23"/>
      <c r="D759" s="23"/>
      <c r="E759" s="23"/>
      <c r="F759" s="23"/>
      <c r="G759" s="108"/>
    </row>
    <row r="760">
      <c r="B760" s="23"/>
      <c r="C760" s="23"/>
      <c r="D760" s="23"/>
      <c r="E760" s="23"/>
      <c r="F760" s="23"/>
      <c r="G760" s="108"/>
    </row>
    <row r="761">
      <c r="B761" s="23"/>
      <c r="C761" s="23"/>
      <c r="D761" s="23"/>
      <c r="E761" s="23"/>
      <c r="F761" s="23"/>
      <c r="G761" s="108"/>
    </row>
    <row r="762">
      <c r="B762" s="23"/>
      <c r="C762" s="23"/>
      <c r="D762" s="23"/>
      <c r="E762" s="23"/>
      <c r="F762" s="23"/>
      <c r="G762" s="108"/>
    </row>
    <row r="763">
      <c r="B763" s="23"/>
      <c r="C763" s="23"/>
      <c r="D763" s="23"/>
      <c r="E763" s="23"/>
      <c r="F763" s="23"/>
      <c r="G763" s="108"/>
    </row>
    <row r="764">
      <c r="B764" s="23"/>
      <c r="C764" s="23"/>
      <c r="D764" s="23"/>
      <c r="E764" s="23"/>
      <c r="F764" s="23"/>
      <c r="G764" s="108"/>
    </row>
    <row r="765">
      <c r="B765" s="23"/>
      <c r="C765" s="23"/>
      <c r="D765" s="23"/>
      <c r="E765" s="23"/>
      <c r="F765" s="23"/>
      <c r="G765" s="108"/>
    </row>
    <row r="766">
      <c r="B766" s="23"/>
      <c r="C766" s="23"/>
      <c r="D766" s="23"/>
      <c r="E766" s="23"/>
      <c r="F766" s="23"/>
      <c r="G766" s="108"/>
    </row>
    <row r="767">
      <c r="B767" s="23"/>
      <c r="C767" s="23"/>
      <c r="D767" s="23"/>
      <c r="E767" s="23"/>
      <c r="F767" s="23"/>
      <c r="G767" s="108"/>
    </row>
    <row r="768">
      <c r="B768" s="23"/>
      <c r="C768" s="23"/>
      <c r="D768" s="23"/>
      <c r="E768" s="23"/>
      <c r="F768" s="23"/>
      <c r="G768" s="108"/>
    </row>
    <row r="769">
      <c r="B769" s="23"/>
      <c r="C769" s="23"/>
      <c r="D769" s="23"/>
      <c r="E769" s="23"/>
      <c r="F769" s="23"/>
      <c r="G769" s="108"/>
    </row>
    <row r="770">
      <c r="B770" s="23"/>
      <c r="C770" s="23"/>
      <c r="D770" s="23"/>
      <c r="E770" s="23"/>
      <c r="F770" s="23"/>
      <c r="G770" s="108"/>
    </row>
    <row r="771">
      <c r="B771" s="23"/>
      <c r="C771" s="23"/>
      <c r="D771" s="23"/>
      <c r="E771" s="23"/>
      <c r="F771" s="23"/>
      <c r="G771" s="108"/>
    </row>
    <row r="772">
      <c r="B772" s="23"/>
      <c r="C772" s="23"/>
      <c r="D772" s="23"/>
      <c r="E772" s="23"/>
      <c r="F772" s="23"/>
      <c r="G772" s="108"/>
    </row>
    <row r="773">
      <c r="B773" s="23"/>
      <c r="C773" s="23"/>
      <c r="D773" s="23"/>
      <c r="E773" s="23"/>
      <c r="F773" s="23"/>
      <c r="G773" s="108"/>
    </row>
    <row r="774">
      <c r="B774" s="23"/>
      <c r="C774" s="23"/>
      <c r="D774" s="23"/>
      <c r="E774" s="23"/>
      <c r="F774" s="23"/>
      <c r="G774" s="108"/>
    </row>
    <row r="775">
      <c r="B775" s="23"/>
      <c r="C775" s="23"/>
      <c r="D775" s="23"/>
      <c r="E775" s="23"/>
      <c r="F775" s="23"/>
      <c r="G775" s="108"/>
    </row>
    <row r="776">
      <c r="B776" s="23"/>
      <c r="C776" s="23"/>
      <c r="D776" s="23"/>
      <c r="E776" s="23"/>
      <c r="F776" s="23"/>
      <c r="G776" s="108"/>
    </row>
    <row r="777">
      <c r="B777" s="23"/>
      <c r="C777" s="23"/>
      <c r="D777" s="23"/>
      <c r="E777" s="23"/>
      <c r="F777" s="23"/>
      <c r="G777" s="108"/>
    </row>
    <row r="778">
      <c r="B778" s="23"/>
      <c r="C778" s="23"/>
      <c r="D778" s="23"/>
      <c r="E778" s="23"/>
      <c r="F778" s="23"/>
      <c r="G778" s="108"/>
    </row>
    <row r="779">
      <c r="B779" s="23"/>
      <c r="C779" s="23"/>
      <c r="D779" s="23"/>
      <c r="E779" s="23"/>
      <c r="F779" s="23"/>
      <c r="G779" s="108"/>
    </row>
    <row r="780">
      <c r="B780" s="23"/>
      <c r="C780" s="23"/>
      <c r="D780" s="23"/>
      <c r="E780" s="23"/>
      <c r="F780" s="23"/>
      <c r="G780" s="108"/>
    </row>
    <row r="781">
      <c r="B781" s="23"/>
      <c r="C781" s="23"/>
      <c r="D781" s="23"/>
      <c r="E781" s="23"/>
      <c r="F781" s="23"/>
      <c r="G781" s="108"/>
    </row>
    <row r="782">
      <c r="B782" s="23"/>
      <c r="C782" s="23"/>
      <c r="D782" s="23"/>
      <c r="E782" s="23"/>
      <c r="F782" s="23"/>
      <c r="G782" s="108"/>
    </row>
    <row r="783">
      <c r="B783" s="23"/>
      <c r="C783" s="23"/>
      <c r="D783" s="23"/>
      <c r="E783" s="23"/>
      <c r="F783" s="23"/>
      <c r="G783" s="108"/>
    </row>
    <row r="784">
      <c r="B784" s="23"/>
      <c r="C784" s="23"/>
      <c r="D784" s="23"/>
      <c r="E784" s="23"/>
      <c r="F784" s="23"/>
      <c r="G784" s="108"/>
    </row>
    <row r="785">
      <c r="B785" s="23"/>
      <c r="C785" s="23"/>
      <c r="D785" s="23"/>
      <c r="E785" s="23"/>
      <c r="F785" s="23"/>
      <c r="G785" s="108"/>
    </row>
    <row r="786">
      <c r="B786" s="23"/>
      <c r="C786" s="23"/>
      <c r="D786" s="23"/>
      <c r="E786" s="23"/>
      <c r="F786" s="23"/>
      <c r="G786" s="108"/>
    </row>
    <row r="787">
      <c r="B787" s="23"/>
      <c r="C787" s="23"/>
      <c r="D787" s="23"/>
      <c r="E787" s="23"/>
      <c r="F787" s="23"/>
      <c r="G787" s="108"/>
    </row>
    <row r="788">
      <c r="B788" s="23"/>
      <c r="C788" s="23"/>
      <c r="D788" s="23"/>
      <c r="E788" s="23"/>
      <c r="F788" s="23"/>
      <c r="G788" s="108"/>
    </row>
    <row r="789">
      <c r="B789" s="23"/>
      <c r="C789" s="23"/>
      <c r="D789" s="23"/>
      <c r="E789" s="23"/>
      <c r="F789" s="23"/>
      <c r="G789" s="108"/>
    </row>
    <row r="790">
      <c r="B790" s="23"/>
      <c r="C790" s="23"/>
      <c r="D790" s="23"/>
      <c r="E790" s="23"/>
      <c r="F790" s="23"/>
      <c r="G790" s="108"/>
    </row>
    <row r="791">
      <c r="B791" s="23"/>
      <c r="C791" s="23"/>
      <c r="D791" s="23"/>
      <c r="E791" s="23"/>
      <c r="F791" s="23"/>
      <c r="G791" s="108"/>
    </row>
    <row r="792">
      <c r="B792" s="23"/>
      <c r="C792" s="23"/>
      <c r="D792" s="23"/>
      <c r="E792" s="23"/>
      <c r="F792" s="23"/>
      <c r="G792" s="108"/>
    </row>
    <row r="793">
      <c r="B793" s="23"/>
      <c r="C793" s="23"/>
      <c r="D793" s="23"/>
      <c r="E793" s="23"/>
      <c r="F793" s="23"/>
      <c r="G793" s="108"/>
    </row>
    <row r="794">
      <c r="B794" s="23"/>
      <c r="C794" s="23"/>
      <c r="D794" s="23"/>
      <c r="E794" s="23"/>
      <c r="F794" s="23"/>
      <c r="G794" s="108"/>
    </row>
    <row r="795">
      <c r="B795" s="23"/>
      <c r="C795" s="23"/>
      <c r="D795" s="23"/>
      <c r="E795" s="23"/>
      <c r="F795" s="23"/>
      <c r="G795" s="108"/>
    </row>
    <row r="796">
      <c r="B796" s="23"/>
      <c r="C796" s="23"/>
      <c r="D796" s="23"/>
      <c r="E796" s="23"/>
      <c r="F796" s="23"/>
      <c r="G796" s="108"/>
    </row>
    <row r="797">
      <c r="B797" s="23"/>
      <c r="C797" s="23"/>
      <c r="D797" s="23"/>
      <c r="E797" s="23"/>
      <c r="F797" s="23"/>
      <c r="G797" s="108"/>
    </row>
    <row r="798">
      <c r="B798" s="23"/>
      <c r="C798" s="23"/>
      <c r="D798" s="23"/>
      <c r="E798" s="23"/>
      <c r="F798" s="23"/>
      <c r="G798" s="108"/>
    </row>
    <row r="799">
      <c r="B799" s="23"/>
      <c r="C799" s="23"/>
      <c r="D799" s="23"/>
      <c r="E799" s="23"/>
      <c r="F799" s="23"/>
      <c r="G799" s="108"/>
    </row>
    <row r="800">
      <c r="B800" s="23"/>
      <c r="C800" s="23"/>
      <c r="D800" s="23"/>
      <c r="E800" s="23"/>
      <c r="F800" s="23"/>
      <c r="G800" s="108"/>
    </row>
    <row r="801">
      <c r="B801" s="23"/>
      <c r="C801" s="23"/>
      <c r="D801" s="23"/>
      <c r="E801" s="23"/>
      <c r="F801" s="23"/>
      <c r="G801" s="108"/>
    </row>
    <row r="802">
      <c r="B802" s="23"/>
      <c r="C802" s="23"/>
      <c r="D802" s="23"/>
      <c r="E802" s="23"/>
      <c r="F802" s="23"/>
      <c r="G802" s="108"/>
    </row>
    <row r="803">
      <c r="B803" s="23"/>
      <c r="C803" s="23"/>
      <c r="D803" s="23"/>
      <c r="E803" s="23"/>
      <c r="F803" s="23"/>
      <c r="G803" s="108"/>
    </row>
    <row r="804">
      <c r="B804" s="23"/>
      <c r="C804" s="23"/>
      <c r="D804" s="23"/>
      <c r="E804" s="23"/>
      <c r="F804" s="23"/>
      <c r="G804" s="108"/>
    </row>
    <row r="805">
      <c r="B805" s="23"/>
      <c r="C805" s="23"/>
      <c r="D805" s="23"/>
      <c r="E805" s="23"/>
      <c r="F805" s="23"/>
      <c r="G805" s="108"/>
    </row>
    <row r="806">
      <c r="B806" s="23"/>
      <c r="C806" s="23"/>
      <c r="D806" s="23"/>
      <c r="E806" s="23"/>
      <c r="F806" s="23"/>
      <c r="G806" s="108"/>
    </row>
    <row r="807">
      <c r="B807" s="23"/>
      <c r="C807" s="23"/>
      <c r="D807" s="23"/>
      <c r="E807" s="23"/>
      <c r="F807" s="23"/>
      <c r="G807" s="108"/>
    </row>
    <row r="808">
      <c r="B808" s="23"/>
      <c r="C808" s="23"/>
      <c r="D808" s="23"/>
      <c r="E808" s="23"/>
      <c r="F808" s="23"/>
      <c r="G808" s="108"/>
    </row>
    <row r="809">
      <c r="B809" s="23"/>
      <c r="C809" s="23"/>
      <c r="D809" s="23"/>
      <c r="E809" s="23"/>
      <c r="F809" s="23"/>
      <c r="G809" s="108"/>
    </row>
    <row r="810">
      <c r="B810" s="23"/>
      <c r="C810" s="23"/>
      <c r="D810" s="23"/>
      <c r="E810" s="23"/>
      <c r="F810" s="23"/>
      <c r="G810" s="108"/>
    </row>
    <row r="811">
      <c r="B811" s="23"/>
      <c r="C811" s="23"/>
      <c r="D811" s="23"/>
      <c r="E811" s="23"/>
      <c r="F811" s="23"/>
      <c r="G811" s="108"/>
    </row>
    <row r="812">
      <c r="B812" s="23"/>
      <c r="C812" s="23"/>
      <c r="D812" s="23"/>
      <c r="E812" s="23"/>
      <c r="F812" s="23"/>
      <c r="G812" s="108"/>
    </row>
    <row r="813">
      <c r="B813" s="23"/>
      <c r="C813" s="23"/>
      <c r="D813" s="23"/>
      <c r="E813" s="23"/>
      <c r="F813" s="23"/>
      <c r="G813" s="108"/>
    </row>
    <row r="814">
      <c r="B814" s="23"/>
      <c r="C814" s="23"/>
      <c r="D814" s="23"/>
      <c r="E814" s="23"/>
      <c r="F814" s="23"/>
      <c r="G814" s="108"/>
    </row>
    <row r="815">
      <c r="B815" s="23"/>
      <c r="C815" s="23"/>
      <c r="D815" s="23"/>
      <c r="E815" s="23"/>
      <c r="F815" s="23"/>
      <c r="G815" s="108"/>
    </row>
    <row r="816">
      <c r="B816" s="23"/>
      <c r="C816" s="23"/>
      <c r="D816" s="23"/>
      <c r="E816" s="23"/>
      <c r="F816" s="23"/>
      <c r="G816" s="108"/>
    </row>
    <row r="817">
      <c r="B817" s="23"/>
      <c r="C817" s="23"/>
      <c r="D817" s="23"/>
      <c r="E817" s="23"/>
      <c r="F817" s="23"/>
      <c r="G817" s="108"/>
    </row>
    <row r="818">
      <c r="B818" s="23"/>
      <c r="C818" s="23"/>
      <c r="D818" s="23"/>
      <c r="E818" s="23"/>
      <c r="F818" s="23"/>
      <c r="G818" s="108"/>
    </row>
    <row r="819">
      <c r="B819" s="23"/>
      <c r="C819" s="23"/>
      <c r="D819" s="23"/>
      <c r="E819" s="23"/>
      <c r="F819" s="23"/>
      <c r="G819" s="108"/>
    </row>
    <row r="820">
      <c r="B820" s="23"/>
      <c r="C820" s="23"/>
      <c r="D820" s="23"/>
      <c r="E820" s="23"/>
      <c r="F820" s="23"/>
      <c r="G820" s="108"/>
    </row>
    <row r="821">
      <c r="B821" s="23"/>
      <c r="C821" s="23"/>
      <c r="D821" s="23"/>
      <c r="E821" s="23"/>
      <c r="F821" s="23"/>
      <c r="G821" s="108"/>
    </row>
    <row r="822">
      <c r="B822" s="23"/>
      <c r="C822" s="23"/>
      <c r="D822" s="23"/>
      <c r="E822" s="23"/>
      <c r="F822" s="23"/>
      <c r="G822" s="108"/>
    </row>
    <row r="823">
      <c r="B823" s="23"/>
      <c r="C823" s="23"/>
      <c r="D823" s="23"/>
      <c r="E823" s="23"/>
      <c r="F823" s="23"/>
      <c r="G823" s="108"/>
    </row>
    <row r="824">
      <c r="B824" s="23"/>
      <c r="C824" s="23"/>
      <c r="D824" s="23"/>
      <c r="E824" s="23"/>
      <c r="F824" s="23"/>
      <c r="G824" s="108"/>
    </row>
    <row r="825">
      <c r="B825" s="23"/>
      <c r="C825" s="23"/>
      <c r="D825" s="23"/>
      <c r="E825" s="23"/>
      <c r="F825" s="23"/>
      <c r="G825" s="108"/>
    </row>
    <row r="826">
      <c r="B826" s="23"/>
      <c r="C826" s="23"/>
      <c r="D826" s="23"/>
      <c r="E826" s="23"/>
      <c r="F826" s="23"/>
      <c r="G826" s="108"/>
    </row>
    <row r="827">
      <c r="B827" s="23"/>
      <c r="C827" s="23"/>
      <c r="D827" s="23"/>
      <c r="E827" s="23"/>
      <c r="F827" s="23"/>
      <c r="G827" s="108"/>
    </row>
    <row r="828">
      <c r="B828" s="23"/>
      <c r="C828" s="23"/>
      <c r="D828" s="23"/>
      <c r="E828" s="23"/>
      <c r="F828" s="23"/>
      <c r="G828" s="108"/>
    </row>
    <row r="829">
      <c r="B829" s="23"/>
      <c r="C829" s="23"/>
      <c r="D829" s="23"/>
      <c r="E829" s="23"/>
      <c r="F829" s="23"/>
      <c r="G829" s="108"/>
    </row>
    <row r="830">
      <c r="B830" s="23"/>
      <c r="C830" s="23"/>
      <c r="D830" s="23"/>
      <c r="E830" s="23"/>
      <c r="F830" s="23"/>
      <c r="G830" s="108"/>
    </row>
    <row r="831">
      <c r="B831" s="23"/>
      <c r="C831" s="23"/>
      <c r="D831" s="23"/>
      <c r="E831" s="23"/>
      <c r="F831" s="23"/>
      <c r="G831" s="108"/>
    </row>
    <row r="832">
      <c r="B832" s="23"/>
      <c r="C832" s="23"/>
      <c r="D832" s="23"/>
      <c r="E832" s="23"/>
      <c r="F832" s="23"/>
      <c r="G832" s="108"/>
    </row>
    <row r="833">
      <c r="B833" s="23"/>
      <c r="C833" s="23"/>
      <c r="D833" s="23"/>
      <c r="E833" s="23"/>
      <c r="F833" s="23"/>
      <c r="G833" s="108"/>
    </row>
    <row r="834">
      <c r="B834" s="23"/>
      <c r="C834" s="23"/>
      <c r="D834" s="23"/>
      <c r="E834" s="23"/>
      <c r="F834" s="23"/>
      <c r="G834" s="108"/>
    </row>
    <row r="835">
      <c r="B835" s="23"/>
      <c r="C835" s="23"/>
      <c r="D835" s="23"/>
      <c r="E835" s="23"/>
      <c r="F835" s="23"/>
      <c r="G835" s="108"/>
    </row>
    <row r="836">
      <c r="B836" s="23"/>
      <c r="C836" s="23"/>
      <c r="D836" s="23"/>
      <c r="E836" s="23"/>
      <c r="F836" s="23"/>
      <c r="G836" s="108"/>
    </row>
    <row r="837">
      <c r="B837" s="23"/>
      <c r="C837" s="23"/>
      <c r="D837" s="23"/>
      <c r="E837" s="23"/>
      <c r="F837" s="23"/>
      <c r="G837" s="108"/>
    </row>
    <row r="838">
      <c r="B838" s="23"/>
      <c r="C838" s="23"/>
      <c r="D838" s="23"/>
      <c r="E838" s="23"/>
      <c r="F838" s="23"/>
      <c r="G838" s="108"/>
    </row>
    <row r="839">
      <c r="B839" s="23"/>
      <c r="C839" s="23"/>
      <c r="D839" s="23"/>
      <c r="E839" s="23"/>
      <c r="F839" s="23"/>
      <c r="G839" s="108"/>
    </row>
    <row r="840">
      <c r="B840" s="23"/>
      <c r="C840" s="23"/>
      <c r="D840" s="23"/>
      <c r="E840" s="23"/>
      <c r="F840" s="23"/>
      <c r="G840" s="108"/>
    </row>
    <row r="841">
      <c r="B841" s="23"/>
      <c r="C841" s="23"/>
      <c r="D841" s="23"/>
      <c r="E841" s="23"/>
      <c r="F841" s="23"/>
      <c r="G841" s="108"/>
    </row>
    <row r="842">
      <c r="B842" s="23"/>
      <c r="C842" s="23"/>
      <c r="D842" s="23"/>
      <c r="E842" s="23"/>
      <c r="F842" s="23"/>
      <c r="G842" s="108"/>
    </row>
    <row r="843">
      <c r="B843" s="23"/>
      <c r="C843" s="23"/>
      <c r="D843" s="23"/>
      <c r="E843" s="23"/>
      <c r="F843" s="23"/>
      <c r="G843" s="108"/>
    </row>
    <row r="844">
      <c r="B844" s="23"/>
      <c r="C844" s="23"/>
      <c r="D844" s="23"/>
      <c r="E844" s="23"/>
      <c r="F844" s="23"/>
      <c r="G844" s="108"/>
    </row>
    <row r="845">
      <c r="B845" s="23"/>
      <c r="C845" s="23"/>
      <c r="D845" s="23"/>
      <c r="E845" s="23"/>
      <c r="F845" s="23"/>
      <c r="G845" s="108"/>
    </row>
    <row r="846">
      <c r="B846" s="23"/>
      <c r="C846" s="23"/>
      <c r="D846" s="23"/>
      <c r="E846" s="23"/>
      <c r="F846" s="23"/>
      <c r="G846" s="108"/>
    </row>
    <row r="847">
      <c r="B847" s="23"/>
      <c r="C847" s="23"/>
      <c r="D847" s="23"/>
      <c r="E847" s="23"/>
      <c r="F847" s="23"/>
      <c r="G847" s="108"/>
    </row>
    <row r="848">
      <c r="B848" s="23"/>
      <c r="C848" s="23"/>
      <c r="D848" s="23"/>
      <c r="E848" s="23"/>
      <c r="F848" s="23"/>
      <c r="G848" s="108"/>
    </row>
    <row r="849">
      <c r="B849" s="23"/>
      <c r="C849" s="23"/>
      <c r="D849" s="23"/>
      <c r="E849" s="23"/>
      <c r="F849" s="23"/>
      <c r="G849" s="108"/>
    </row>
    <row r="850">
      <c r="B850" s="23"/>
      <c r="C850" s="23"/>
      <c r="D850" s="23"/>
      <c r="E850" s="23"/>
      <c r="F850" s="23"/>
      <c r="G850" s="108"/>
    </row>
    <row r="851">
      <c r="B851" s="23"/>
      <c r="C851" s="23"/>
      <c r="D851" s="23"/>
      <c r="E851" s="23"/>
      <c r="F851" s="23"/>
      <c r="G851" s="108"/>
    </row>
    <row r="852">
      <c r="B852" s="23"/>
      <c r="C852" s="23"/>
      <c r="D852" s="23"/>
      <c r="E852" s="23"/>
      <c r="F852" s="23"/>
      <c r="G852" s="108"/>
    </row>
    <row r="853">
      <c r="B853" s="23"/>
      <c r="C853" s="23"/>
      <c r="D853" s="23"/>
      <c r="E853" s="23"/>
      <c r="F853" s="23"/>
      <c r="G853" s="108"/>
    </row>
    <row r="854">
      <c r="B854" s="23"/>
      <c r="C854" s="23"/>
      <c r="D854" s="23"/>
      <c r="E854" s="23"/>
      <c r="F854" s="23"/>
      <c r="G854" s="108"/>
    </row>
    <row r="855">
      <c r="B855" s="23"/>
      <c r="C855" s="23"/>
      <c r="D855" s="23"/>
      <c r="E855" s="23"/>
      <c r="F855" s="23"/>
      <c r="G855" s="108"/>
    </row>
    <row r="856">
      <c r="B856" s="23"/>
      <c r="C856" s="23"/>
      <c r="D856" s="23"/>
      <c r="E856" s="23"/>
      <c r="F856" s="23"/>
      <c r="G856" s="108"/>
    </row>
    <row r="857">
      <c r="B857" s="23"/>
      <c r="C857" s="23"/>
      <c r="D857" s="23"/>
      <c r="E857" s="23"/>
      <c r="F857" s="23"/>
      <c r="G857" s="108"/>
    </row>
    <row r="858">
      <c r="B858" s="23"/>
      <c r="C858" s="23"/>
      <c r="D858" s="23"/>
      <c r="E858" s="23"/>
      <c r="F858" s="23"/>
      <c r="G858" s="108"/>
    </row>
    <row r="859">
      <c r="B859" s="23"/>
      <c r="C859" s="23"/>
      <c r="D859" s="23"/>
      <c r="E859" s="23"/>
      <c r="F859" s="23"/>
      <c r="G859" s="108"/>
    </row>
    <row r="860">
      <c r="B860" s="23"/>
      <c r="C860" s="23"/>
      <c r="D860" s="23"/>
      <c r="E860" s="23"/>
      <c r="F860" s="23"/>
      <c r="G860" s="108"/>
    </row>
    <row r="861">
      <c r="B861" s="23"/>
      <c r="C861" s="23"/>
      <c r="D861" s="23"/>
      <c r="E861" s="23"/>
      <c r="F861" s="23"/>
      <c r="G861" s="108"/>
    </row>
    <row r="862">
      <c r="B862" s="23"/>
      <c r="C862" s="23"/>
      <c r="D862" s="23"/>
      <c r="E862" s="23"/>
      <c r="F862" s="23"/>
      <c r="G862" s="108"/>
    </row>
    <row r="863">
      <c r="B863" s="23"/>
      <c r="C863" s="23"/>
      <c r="D863" s="23"/>
      <c r="E863" s="23"/>
      <c r="F863" s="23"/>
      <c r="G863" s="108"/>
    </row>
    <row r="864">
      <c r="B864" s="23"/>
      <c r="C864" s="23"/>
      <c r="D864" s="23"/>
      <c r="E864" s="23"/>
      <c r="F864" s="23"/>
      <c r="G864" s="108"/>
    </row>
    <row r="865">
      <c r="B865" s="23"/>
      <c r="C865" s="23"/>
      <c r="D865" s="23"/>
      <c r="E865" s="23"/>
      <c r="F865" s="23"/>
      <c r="G865" s="108"/>
    </row>
    <row r="866">
      <c r="B866" s="23"/>
      <c r="C866" s="23"/>
      <c r="D866" s="23"/>
      <c r="E866" s="23"/>
      <c r="F866" s="23"/>
      <c r="G866" s="108"/>
    </row>
    <row r="867">
      <c r="B867" s="23"/>
      <c r="C867" s="23"/>
      <c r="D867" s="23"/>
      <c r="E867" s="23"/>
      <c r="F867" s="23"/>
      <c r="G867" s="108"/>
    </row>
    <row r="868">
      <c r="B868" s="23"/>
      <c r="C868" s="23"/>
      <c r="D868" s="23"/>
      <c r="E868" s="23"/>
      <c r="F868" s="23"/>
      <c r="G868" s="108"/>
    </row>
    <row r="869">
      <c r="B869" s="23"/>
      <c r="C869" s="23"/>
      <c r="D869" s="23"/>
      <c r="E869" s="23"/>
      <c r="F869" s="23"/>
      <c r="G869" s="108"/>
    </row>
    <row r="870">
      <c r="B870" s="23"/>
      <c r="C870" s="23"/>
      <c r="D870" s="23"/>
      <c r="E870" s="23"/>
      <c r="F870" s="23"/>
      <c r="G870" s="108"/>
    </row>
    <row r="871">
      <c r="B871" s="23"/>
      <c r="C871" s="23"/>
      <c r="D871" s="23"/>
      <c r="E871" s="23"/>
      <c r="F871" s="23"/>
      <c r="G871" s="108"/>
    </row>
    <row r="872">
      <c r="B872" s="23"/>
      <c r="C872" s="23"/>
      <c r="D872" s="23"/>
      <c r="E872" s="23"/>
      <c r="F872" s="23"/>
      <c r="G872" s="108"/>
    </row>
    <row r="873">
      <c r="B873" s="23"/>
      <c r="C873" s="23"/>
      <c r="D873" s="23"/>
      <c r="E873" s="23"/>
      <c r="F873" s="23"/>
      <c r="G873" s="108"/>
    </row>
    <row r="874">
      <c r="B874" s="23"/>
      <c r="C874" s="23"/>
      <c r="D874" s="23"/>
      <c r="E874" s="23"/>
      <c r="F874" s="23"/>
      <c r="G874" s="108"/>
    </row>
    <row r="875">
      <c r="B875" s="23"/>
      <c r="C875" s="23"/>
      <c r="D875" s="23"/>
      <c r="E875" s="23"/>
      <c r="F875" s="23"/>
      <c r="G875" s="108"/>
    </row>
    <row r="876">
      <c r="B876" s="23"/>
      <c r="C876" s="23"/>
      <c r="D876" s="23"/>
      <c r="E876" s="23"/>
      <c r="F876" s="23"/>
      <c r="G876" s="108"/>
    </row>
    <row r="877">
      <c r="B877" s="23"/>
      <c r="C877" s="23"/>
      <c r="D877" s="23"/>
      <c r="E877" s="23"/>
      <c r="F877" s="23"/>
      <c r="G877" s="108"/>
    </row>
    <row r="878">
      <c r="B878" s="23"/>
      <c r="C878" s="23"/>
      <c r="D878" s="23"/>
      <c r="E878" s="23"/>
      <c r="F878" s="23"/>
      <c r="G878" s="108"/>
    </row>
    <row r="879">
      <c r="B879" s="23"/>
      <c r="C879" s="23"/>
      <c r="D879" s="23"/>
      <c r="E879" s="23"/>
      <c r="F879" s="23"/>
      <c r="G879" s="108"/>
    </row>
    <row r="880">
      <c r="B880" s="23"/>
      <c r="C880" s="23"/>
      <c r="D880" s="23"/>
      <c r="E880" s="23"/>
      <c r="F880" s="23"/>
      <c r="G880" s="108"/>
    </row>
    <row r="881">
      <c r="B881" s="23"/>
      <c r="C881" s="23"/>
      <c r="D881" s="23"/>
      <c r="E881" s="23"/>
      <c r="F881" s="23"/>
      <c r="G881" s="108"/>
    </row>
    <row r="882">
      <c r="B882" s="23"/>
      <c r="C882" s="23"/>
      <c r="D882" s="23"/>
      <c r="E882" s="23"/>
      <c r="F882" s="23"/>
      <c r="G882" s="108"/>
    </row>
    <row r="883">
      <c r="B883" s="23"/>
      <c r="C883" s="23"/>
      <c r="D883" s="23"/>
      <c r="E883" s="23"/>
      <c r="F883" s="23"/>
      <c r="G883" s="108"/>
    </row>
    <row r="884">
      <c r="B884" s="23"/>
      <c r="C884" s="23"/>
      <c r="D884" s="23"/>
      <c r="E884" s="23"/>
      <c r="F884" s="23"/>
      <c r="G884" s="108"/>
    </row>
    <row r="885">
      <c r="B885" s="23"/>
      <c r="C885" s="23"/>
      <c r="D885" s="23"/>
      <c r="E885" s="23"/>
      <c r="F885" s="23"/>
      <c r="G885" s="108"/>
    </row>
    <row r="886">
      <c r="B886" s="23"/>
      <c r="C886" s="23"/>
      <c r="D886" s="23"/>
      <c r="E886" s="23"/>
      <c r="F886" s="23"/>
      <c r="G886" s="108"/>
    </row>
    <row r="887">
      <c r="B887" s="23"/>
      <c r="C887" s="23"/>
      <c r="D887" s="23"/>
      <c r="E887" s="23"/>
      <c r="F887" s="23"/>
      <c r="G887" s="108"/>
    </row>
    <row r="888">
      <c r="B888" s="23"/>
      <c r="C888" s="23"/>
      <c r="D888" s="23"/>
      <c r="E888" s="23"/>
      <c r="F888" s="23"/>
      <c r="G888" s="108"/>
    </row>
    <row r="889">
      <c r="B889" s="23"/>
      <c r="C889" s="23"/>
      <c r="D889" s="23"/>
      <c r="E889" s="23"/>
      <c r="F889" s="23"/>
      <c r="G889" s="108"/>
    </row>
    <row r="890">
      <c r="B890" s="23"/>
      <c r="C890" s="23"/>
      <c r="D890" s="23"/>
      <c r="E890" s="23"/>
      <c r="F890" s="23"/>
      <c r="G890" s="108"/>
    </row>
    <row r="891">
      <c r="B891" s="23"/>
      <c r="C891" s="23"/>
      <c r="D891" s="23"/>
      <c r="E891" s="23"/>
      <c r="F891" s="23"/>
      <c r="G891" s="108"/>
    </row>
    <row r="892">
      <c r="B892" s="23"/>
      <c r="C892" s="23"/>
      <c r="D892" s="23"/>
      <c r="E892" s="23"/>
      <c r="F892" s="23"/>
      <c r="G892" s="108"/>
    </row>
    <row r="893">
      <c r="B893" s="23"/>
      <c r="C893" s="23"/>
      <c r="D893" s="23"/>
      <c r="E893" s="23"/>
      <c r="F893" s="23"/>
      <c r="G893" s="108"/>
    </row>
    <row r="894">
      <c r="B894" s="23"/>
      <c r="C894" s="23"/>
      <c r="D894" s="23"/>
      <c r="E894" s="23"/>
      <c r="F894" s="23"/>
      <c r="G894" s="108"/>
    </row>
    <row r="895">
      <c r="B895" s="23"/>
      <c r="C895" s="23"/>
      <c r="D895" s="23"/>
      <c r="E895" s="23"/>
      <c r="F895" s="23"/>
      <c r="G895" s="108"/>
    </row>
    <row r="896">
      <c r="B896" s="23"/>
      <c r="C896" s="23"/>
      <c r="D896" s="23"/>
      <c r="E896" s="23"/>
      <c r="F896" s="23"/>
      <c r="G896" s="108"/>
    </row>
    <row r="897">
      <c r="B897" s="23"/>
      <c r="C897" s="23"/>
      <c r="D897" s="23"/>
      <c r="E897" s="23"/>
      <c r="F897" s="23"/>
      <c r="G897" s="108"/>
    </row>
    <row r="898">
      <c r="B898" s="23"/>
      <c r="C898" s="23"/>
      <c r="D898" s="23"/>
      <c r="E898" s="23"/>
      <c r="F898" s="23"/>
      <c r="G898" s="108"/>
    </row>
    <row r="899">
      <c r="B899" s="23"/>
      <c r="C899" s="23"/>
      <c r="D899" s="23"/>
      <c r="E899" s="23"/>
      <c r="F899" s="23"/>
      <c r="G899" s="108"/>
    </row>
    <row r="900">
      <c r="B900" s="23"/>
      <c r="C900" s="23"/>
      <c r="D900" s="23"/>
      <c r="E900" s="23"/>
      <c r="F900" s="23"/>
      <c r="G900" s="108"/>
    </row>
    <row r="901">
      <c r="B901" s="23"/>
      <c r="C901" s="23"/>
      <c r="D901" s="23"/>
      <c r="E901" s="23"/>
      <c r="F901" s="23"/>
      <c r="G901" s="108"/>
    </row>
    <row r="902">
      <c r="B902" s="23"/>
      <c r="C902" s="23"/>
      <c r="D902" s="23"/>
      <c r="E902" s="23"/>
      <c r="F902" s="23"/>
      <c r="G902" s="108"/>
    </row>
    <row r="903">
      <c r="B903" s="23"/>
      <c r="C903" s="23"/>
      <c r="D903" s="23"/>
      <c r="E903" s="23"/>
      <c r="F903" s="23"/>
      <c r="G903" s="108"/>
    </row>
    <row r="904">
      <c r="B904" s="23"/>
      <c r="C904" s="23"/>
      <c r="D904" s="23"/>
      <c r="E904" s="23"/>
      <c r="F904" s="23"/>
      <c r="G904" s="108"/>
    </row>
    <row r="905">
      <c r="B905" s="23"/>
      <c r="C905" s="23"/>
      <c r="D905" s="23"/>
      <c r="E905" s="23"/>
      <c r="F905" s="23"/>
      <c r="G905" s="108"/>
    </row>
    <row r="906">
      <c r="B906" s="23"/>
      <c r="C906" s="23"/>
      <c r="D906" s="23"/>
      <c r="E906" s="23"/>
      <c r="F906" s="23"/>
      <c r="G906" s="108"/>
    </row>
    <row r="907">
      <c r="B907" s="23"/>
      <c r="C907" s="23"/>
      <c r="D907" s="23"/>
      <c r="E907" s="23"/>
      <c r="F907" s="23"/>
      <c r="G907" s="108"/>
    </row>
    <row r="908">
      <c r="B908" s="23"/>
      <c r="C908" s="23"/>
      <c r="D908" s="23"/>
      <c r="E908" s="23"/>
      <c r="F908" s="23"/>
      <c r="G908" s="108"/>
    </row>
    <row r="909">
      <c r="B909" s="23"/>
      <c r="C909" s="23"/>
      <c r="D909" s="23"/>
      <c r="E909" s="23"/>
      <c r="F909" s="23"/>
      <c r="G909" s="108"/>
    </row>
    <row r="910">
      <c r="B910" s="23"/>
      <c r="C910" s="23"/>
      <c r="D910" s="23"/>
      <c r="E910" s="23"/>
      <c r="F910" s="23"/>
      <c r="G910" s="108"/>
    </row>
    <row r="911">
      <c r="B911" s="23"/>
      <c r="C911" s="23"/>
      <c r="D911" s="23"/>
      <c r="E911" s="23"/>
      <c r="F911" s="23"/>
      <c r="G911" s="108"/>
    </row>
    <row r="912">
      <c r="B912" s="23"/>
      <c r="C912" s="23"/>
      <c r="D912" s="23"/>
      <c r="E912" s="23"/>
      <c r="F912" s="23"/>
      <c r="G912" s="108"/>
    </row>
    <row r="913">
      <c r="B913" s="23"/>
      <c r="C913" s="23"/>
      <c r="D913" s="23"/>
      <c r="E913" s="23"/>
      <c r="F913" s="23"/>
      <c r="G913" s="108"/>
    </row>
    <row r="914">
      <c r="B914" s="23"/>
      <c r="C914" s="23"/>
      <c r="D914" s="23"/>
      <c r="E914" s="23"/>
      <c r="F914" s="23"/>
      <c r="G914" s="108"/>
    </row>
    <row r="915">
      <c r="B915" s="23"/>
      <c r="C915" s="23"/>
      <c r="D915" s="23"/>
      <c r="E915" s="23"/>
      <c r="F915" s="23"/>
      <c r="G915" s="108"/>
    </row>
    <row r="916">
      <c r="B916" s="23"/>
      <c r="C916" s="23"/>
      <c r="D916" s="23"/>
      <c r="E916" s="23"/>
      <c r="F916" s="23"/>
      <c r="G916" s="108"/>
    </row>
    <row r="917">
      <c r="B917" s="23"/>
      <c r="C917" s="23"/>
      <c r="D917" s="23"/>
      <c r="E917" s="23"/>
      <c r="F917" s="23"/>
      <c r="G917" s="108"/>
    </row>
    <row r="918">
      <c r="B918" s="23"/>
      <c r="C918" s="23"/>
      <c r="D918" s="23"/>
      <c r="E918" s="23"/>
      <c r="F918" s="23"/>
      <c r="G918" s="108"/>
    </row>
    <row r="919">
      <c r="B919" s="23"/>
      <c r="C919" s="23"/>
      <c r="D919" s="23"/>
      <c r="E919" s="23"/>
      <c r="F919" s="23"/>
      <c r="G919" s="108"/>
    </row>
    <row r="920">
      <c r="B920" s="23"/>
      <c r="C920" s="23"/>
      <c r="D920" s="23"/>
      <c r="E920" s="23"/>
      <c r="F920" s="23"/>
      <c r="G920" s="108"/>
    </row>
    <row r="921">
      <c r="B921" s="23"/>
      <c r="C921" s="23"/>
      <c r="D921" s="23"/>
      <c r="E921" s="23"/>
      <c r="F921" s="23"/>
      <c r="G921" s="108"/>
    </row>
    <row r="922">
      <c r="B922" s="23"/>
      <c r="C922" s="23"/>
      <c r="D922" s="23"/>
      <c r="E922" s="23"/>
      <c r="F922" s="23"/>
      <c r="G922" s="108"/>
    </row>
    <row r="923">
      <c r="B923" s="23"/>
      <c r="C923" s="23"/>
      <c r="D923" s="23"/>
      <c r="E923" s="23"/>
      <c r="F923" s="23"/>
      <c r="G923" s="108"/>
    </row>
    <row r="924">
      <c r="B924" s="23"/>
      <c r="C924" s="23"/>
      <c r="D924" s="23"/>
      <c r="E924" s="23"/>
      <c r="F924" s="23"/>
      <c r="G924" s="108"/>
    </row>
    <row r="925">
      <c r="B925" s="23"/>
      <c r="C925" s="23"/>
      <c r="D925" s="23"/>
      <c r="E925" s="23"/>
      <c r="F925" s="23"/>
      <c r="G925" s="108"/>
    </row>
    <row r="926">
      <c r="B926" s="23"/>
      <c r="C926" s="23"/>
      <c r="D926" s="23"/>
      <c r="E926" s="23"/>
      <c r="F926" s="23"/>
      <c r="G926" s="108"/>
    </row>
    <row r="927">
      <c r="B927" s="23"/>
      <c r="C927" s="23"/>
      <c r="D927" s="23"/>
      <c r="E927" s="23"/>
      <c r="F927" s="23"/>
      <c r="G927" s="108"/>
    </row>
    <row r="928">
      <c r="B928" s="23"/>
      <c r="C928" s="23"/>
      <c r="D928" s="23"/>
      <c r="E928" s="23"/>
      <c r="F928" s="23"/>
      <c r="G928" s="108"/>
    </row>
    <row r="929">
      <c r="B929" s="23"/>
      <c r="C929" s="23"/>
      <c r="D929" s="23"/>
      <c r="E929" s="23"/>
      <c r="F929" s="23"/>
      <c r="G929" s="108"/>
    </row>
    <row r="930">
      <c r="B930" s="23"/>
      <c r="C930" s="23"/>
      <c r="D930" s="23"/>
      <c r="E930" s="23"/>
      <c r="F930" s="23"/>
      <c r="G930" s="108"/>
    </row>
    <row r="931">
      <c r="B931" s="23"/>
      <c r="C931" s="23"/>
      <c r="D931" s="23"/>
      <c r="E931" s="23"/>
      <c r="F931" s="23"/>
      <c r="G931" s="108"/>
    </row>
    <row r="932">
      <c r="B932" s="23"/>
      <c r="C932" s="23"/>
      <c r="D932" s="23"/>
      <c r="E932" s="23"/>
      <c r="F932" s="23"/>
      <c r="G932" s="108"/>
    </row>
    <row r="933">
      <c r="B933" s="23"/>
      <c r="C933" s="23"/>
      <c r="D933" s="23"/>
      <c r="E933" s="23"/>
      <c r="F933" s="23"/>
      <c r="G933" s="108"/>
    </row>
    <row r="934">
      <c r="B934" s="23"/>
      <c r="C934" s="23"/>
      <c r="D934" s="23"/>
      <c r="E934" s="23"/>
      <c r="F934" s="23"/>
      <c r="G934" s="108"/>
    </row>
    <row r="935">
      <c r="B935" s="23"/>
      <c r="C935" s="23"/>
      <c r="D935" s="23"/>
      <c r="E935" s="23"/>
      <c r="F935" s="23"/>
      <c r="G935" s="108"/>
    </row>
    <row r="936">
      <c r="B936" s="23"/>
      <c r="C936" s="23"/>
      <c r="D936" s="23"/>
      <c r="E936" s="23"/>
      <c r="F936" s="23"/>
      <c r="G936" s="108"/>
    </row>
    <row r="937">
      <c r="B937" s="23"/>
      <c r="C937" s="23"/>
      <c r="D937" s="23"/>
      <c r="E937" s="23"/>
      <c r="F937" s="23"/>
      <c r="G937" s="108"/>
    </row>
    <row r="938">
      <c r="B938" s="23"/>
      <c r="C938" s="23"/>
      <c r="D938" s="23"/>
      <c r="E938" s="23"/>
      <c r="F938" s="23"/>
      <c r="G938" s="108"/>
    </row>
    <row r="939">
      <c r="B939" s="23"/>
      <c r="C939" s="23"/>
      <c r="D939" s="23"/>
      <c r="E939" s="23"/>
      <c r="F939" s="23"/>
      <c r="G939" s="108"/>
    </row>
    <row r="940">
      <c r="B940" s="23"/>
      <c r="C940" s="23"/>
      <c r="D940" s="23"/>
      <c r="E940" s="23"/>
      <c r="F940" s="23"/>
      <c r="G940" s="108"/>
    </row>
    <row r="941">
      <c r="B941" s="23"/>
      <c r="C941" s="23"/>
      <c r="D941" s="23"/>
      <c r="E941" s="23"/>
      <c r="F941" s="23"/>
      <c r="G941" s="108"/>
    </row>
    <row r="942">
      <c r="B942" s="23"/>
      <c r="C942" s="23"/>
      <c r="D942" s="23"/>
      <c r="E942" s="23"/>
      <c r="F942" s="23"/>
      <c r="G942" s="108"/>
    </row>
    <row r="943">
      <c r="B943" s="23"/>
      <c r="C943" s="23"/>
      <c r="D943" s="23"/>
      <c r="E943" s="23"/>
      <c r="F943" s="23"/>
      <c r="G943" s="108"/>
    </row>
    <row r="944">
      <c r="B944" s="23"/>
      <c r="C944" s="23"/>
      <c r="D944" s="23"/>
      <c r="E944" s="23"/>
      <c r="F944" s="23"/>
      <c r="G944" s="108"/>
    </row>
    <row r="945">
      <c r="B945" s="23"/>
      <c r="C945" s="23"/>
      <c r="D945" s="23"/>
      <c r="E945" s="23"/>
      <c r="F945" s="23"/>
      <c r="G945" s="108"/>
    </row>
    <row r="946">
      <c r="B946" s="23"/>
      <c r="C946" s="23"/>
      <c r="D946" s="23"/>
      <c r="E946" s="23"/>
      <c r="F946" s="23"/>
      <c r="G946" s="108"/>
    </row>
    <row r="947">
      <c r="B947" s="23"/>
      <c r="C947" s="23"/>
      <c r="D947" s="23"/>
      <c r="E947" s="23"/>
      <c r="F947" s="23"/>
      <c r="G947" s="108"/>
    </row>
    <row r="948">
      <c r="B948" s="23"/>
      <c r="C948" s="23"/>
      <c r="D948" s="23"/>
      <c r="E948" s="23"/>
      <c r="F948" s="23"/>
      <c r="G948" s="108"/>
    </row>
    <row r="949">
      <c r="B949" s="23"/>
      <c r="C949" s="23"/>
      <c r="D949" s="23"/>
      <c r="E949" s="23"/>
      <c r="F949" s="23"/>
      <c r="G949" s="108"/>
    </row>
    <row r="950">
      <c r="B950" s="23"/>
      <c r="C950" s="23"/>
      <c r="D950" s="23"/>
      <c r="E950" s="23"/>
      <c r="F950" s="23"/>
      <c r="G950" s="108"/>
    </row>
    <row r="951">
      <c r="B951" s="23"/>
      <c r="C951" s="23"/>
      <c r="D951" s="23"/>
      <c r="E951" s="23"/>
      <c r="F951" s="23"/>
      <c r="G951" s="108"/>
    </row>
    <row r="952">
      <c r="B952" s="23"/>
      <c r="C952" s="23"/>
      <c r="D952" s="23"/>
      <c r="E952" s="23"/>
      <c r="F952" s="23"/>
      <c r="G952" s="108"/>
    </row>
    <row r="953">
      <c r="B953" s="23"/>
      <c r="C953" s="23"/>
      <c r="D953" s="23"/>
      <c r="E953" s="23"/>
      <c r="F953" s="23"/>
      <c r="G953" s="108"/>
    </row>
    <row r="954">
      <c r="B954" s="23"/>
      <c r="C954" s="23"/>
      <c r="D954" s="23"/>
      <c r="E954" s="23"/>
      <c r="F954" s="23"/>
      <c r="G954" s="108"/>
    </row>
    <row r="955">
      <c r="B955" s="23"/>
      <c r="C955" s="23"/>
      <c r="D955" s="23"/>
      <c r="E955" s="23"/>
      <c r="F955" s="23"/>
      <c r="G955" s="108"/>
    </row>
    <row r="956">
      <c r="B956" s="23"/>
      <c r="C956" s="23"/>
      <c r="D956" s="23"/>
      <c r="E956" s="23"/>
      <c r="F956" s="23"/>
      <c r="G956" s="108"/>
    </row>
    <row r="957">
      <c r="B957" s="23"/>
      <c r="C957" s="23"/>
      <c r="D957" s="23"/>
      <c r="E957" s="23"/>
      <c r="F957" s="23"/>
      <c r="G957" s="108"/>
    </row>
    <row r="958">
      <c r="B958" s="23"/>
      <c r="C958" s="23"/>
      <c r="D958" s="23"/>
      <c r="E958" s="23"/>
      <c r="F958" s="23"/>
      <c r="G958" s="108"/>
    </row>
    <row r="959">
      <c r="B959" s="23"/>
      <c r="C959" s="23"/>
      <c r="D959" s="23"/>
      <c r="E959" s="23"/>
      <c r="F959" s="23"/>
      <c r="G959" s="108"/>
    </row>
    <row r="960">
      <c r="B960" s="23"/>
      <c r="C960" s="23"/>
      <c r="D960" s="23"/>
      <c r="E960" s="23"/>
      <c r="F960" s="23"/>
      <c r="G960" s="108"/>
    </row>
    <row r="961">
      <c r="B961" s="23"/>
      <c r="C961" s="23"/>
      <c r="D961" s="23"/>
      <c r="E961" s="23"/>
      <c r="F961" s="23"/>
      <c r="G961" s="108"/>
    </row>
    <row r="962">
      <c r="B962" s="23"/>
      <c r="C962" s="23"/>
      <c r="D962" s="23"/>
      <c r="E962" s="23"/>
      <c r="F962" s="23"/>
      <c r="G962" s="108"/>
    </row>
    <row r="963">
      <c r="B963" s="23"/>
      <c r="C963" s="23"/>
      <c r="D963" s="23"/>
      <c r="E963" s="23"/>
      <c r="F963" s="23"/>
      <c r="G963" s="108"/>
    </row>
    <row r="964">
      <c r="B964" s="23"/>
      <c r="C964" s="23"/>
      <c r="D964" s="23"/>
      <c r="E964" s="23"/>
      <c r="F964" s="23"/>
      <c r="G964" s="108"/>
    </row>
    <row r="965">
      <c r="B965" s="23"/>
      <c r="C965" s="23"/>
      <c r="D965" s="23"/>
      <c r="E965" s="23"/>
      <c r="F965" s="23"/>
      <c r="G965" s="108"/>
    </row>
    <row r="966">
      <c r="B966" s="23"/>
      <c r="C966" s="23"/>
      <c r="D966" s="23"/>
      <c r="E966" s="23"/>
      <c r="F966" s="23"/>
      <c r="G966" s="108"/>
    </row>
    <row r="967">
      <c r="B967" s="23"/>
      <c r="C967" s="23"/>
      <c r="D967" s="23"/>
      <c r="E967" s="23"/>
      <c r="F967" s="23"/>
      <c r="G967" s="108"/>
    </row>
    <row r="968">
      <c r="B968" s="23"/>
      <c r="C968" s="23"/>
      <c r="D968" s="23"/>
      <c r="E968" s="23"/>
      <c r="F968" s="23"/>
      <c r="G968" s="108"/>
    </row>
    <row r="969">
      <c r="B969" s="23"/>
      <c r="C969" s="23"/>
      <c r="D969" s="23"/>
      <c r="E969" s="23"/>
      <c r="F969" s="23"/>
      <c r="G969" s="108"/>
    </row>
    <row r="970">
      <c r="B970" s="23"/>
      <c r="C970" s="23"/>
      <c r="D970" s="23"/>
      <c r="E970" s="23"/>
      <c r="F970" s="23"/>
      <c r="G970" s="108"/>
    </row>
    <row r="971">
      <c r="B971" s="23"/>
      <c r="C971" s="23"/>
      <c r="D971" s="23"/>
      <c r="E971" s="23"/>
      <c r="F971" s="23"/>
      <c r="G971" s="108"/>
    </row>
    <row r="972">
      <c r="B972" s="23"/>
      <c r="C972" s="23"/>
      <c r="D972" s="23"/>
      <c r="E972" s="23"/>
      <c r="F972" s="23"/>
      <c r="G972" s="108"/>
    </row>
    <row r="973">
      <c r="B973" s="23"/>
      <c r="C973" s="23"/>
      <c r="D973" s="23"/>
      <c r="E973" s="23"/>
      <c r="F973" s="23"/>
      <c r="G973" s="108"/>
    </row>
    <row r="974">
      <c r="B974" s="23"/>
      <c r="C974" s="23"/>
      <c r="D974" s="23"/>
      <c r="E974" s="23"/>
      <c r="F974" s="23"/>
      <c r="G974" s="108"/>
    </row>
    <row r="975">
      <c r="B975" s="23"/>
      <c r="C975" s="23"/>
      <c r="D975" s="23"/>
      <c r="E975" s="23"/>
      <c r="F975" s="23"/>
      <c r="G975" s="108"/>
    </row>
    <row r="976">
      <c r="B976" s="23"/>
      <c r="C976" s="23"/>
      <c r="D976" s="23"/>
      <c r="E976" s="23"/>
      <c r="F976" s="23"/>
      <c r="G976" s="108"/>
    </row>
    <row r="977">
      <c r="B977" s="23"/>
      <c r="C977" s="23"/>
      <c r="D977" s="23"/>
      <c r="E977" s="23"/>
      <c r="F977" s="23"/>
      <c r="G977" s="108"/>
    </row>
    <row r="978">
      <c r="B978" s="23"/>
      <c r="C978" s="23"/>
      <c r="D978" s="23"/>
      <c r="E978" s="23"/>
      <c r="F978" s="23"/>
      <c r="G978" s="108"/>
    </row>
    <row r="979">
      <c r="B979" s="23"/>
      <c r="C979" s="23"/>
      <c r="D979" s="23"/>
      <c r="E979" s="23"/>
      <c r="F979" s="23"/>
      <c r="G979" s="108"/>
    </row>
    <row r="980">
      <c r="B980" s="23"/>
      <c r="C980" s="23"/>
      <c r="D980" s="23"/>
      <c r="E980" s="23"/>
      <c r="F980" s="23"/>
      <c r="G980" s="108"/>
    </row>
    <row r="981">
      <c r="B981" s="23"/>
      <c r="C981" s="23"/>
      <c r="D981" s="23"/>
      <c r="E981" s="23"/>
      <c r="F981" s="23"/>
      <c r="G981" s="108"/>
    </row>
    <row r="982">
      <c r="B982" s="23"/>
      <c r="C982" s="23"/>
      <c r="D982" s="23"/>
      <c r="E982" s="23"/>
      <c r="F982" s="23"/>
      <c r="G982" s="108"/>
    </row>
    <row r="983">
      <c r="B983" s="23"/>
      <c r="C983" s="23"/>
      <c r="D983" s="23"/>
      <c r="E983" s="23"/>
      <c r="F983" s="23"/>
      <c r="G983" s="108"/>
    </row>
    <row r="984">
      <c r="B984" s="23"/>
      <c r="C984" s="23"/>
      <c r="D984" s="23"/>
      <c r="E984" s="23"/>
      <c r="F984" s="23"/>
      <c r="G984" s="108"/>
    </row>
    <row r="985">
      <c r="B985" s="23"/>
      <c r="C985" s="23"/>
      <c r="D985" s="23"/>
      <c r="E985" s="23"/>
      <c r="F985" s="23"/>
      <c r="G985" s="108"/>
    </row>
    <row r="986">
      <c r="B986" s="23"/>
      <c r="C986" s="23"/>
      <c r="D986" s="23"/>
      <c r="E986" s="23"/>
      <c r="F986" s="23"/>
      <c r="G986" s="108"/>
    </row>
    <row r="987">
      <c r="B987" s="23"/>
      <c r="C987" s="23"/>
      <c r="D987" s="23"/>
      <c r="E987" s="23"/>
      <c r="F987" s="23"/>
      <c r="G987" s="108"/>
    </row>
    <row r="988">
      <c r="B988" s="23"/>
      <c r="C988" s="23"/>
      <c r="D988" s="23"/>
      <c r="E988" s="23"/>
      <c r="F988" s="23"/>
      <c r="G988" s="108"/>
    </row>
    <row r="989">
      <c r="B989" s="23"/>
      <c r="C989" s="23"/>
      <c r="D989" s="23"/>
      <c r="E989" s="23"/>
      <c r="F989" s="23"/>
      <c r="G989" s="108"/>
    </row>
    <row r="990">
      <c r="B990" s="23"/>
      <c r="C990" s="23"/>
      <c r="D990" s="23"/>
      <c r="E990" s="23"/>
      <c r="F990" s="23"/>
      <c r="G990" s="108"/>
    </row>
    <row r="991">
      <c r="B991" s="23"/>
      <c r="C991" s="23"/>
      <c r="D991" s="23"/>
      <c r="E991" s="23"/>
      <c r="F991" s="23"/>
      <c r="G991" s="108"/>
    </row>
    <row r="992">
      <c r="B992" s="23"/>
      <c r="C992" s="23"/>
      <c r="D992" s="23"/>
      <c r="E992" s="23"/>
      <c r="F992" s="23"/>
      <c r="G992" s="108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6" width="6.38"/>
  </cols>
  <sheetData>
    <row r="1">
      <c r="A1" s="31" t="s">
        <v>570</v>
      </c>
      <c r="T1" s="109"/>
    </row>
    <row r="2">
      <c r="A2" s="66" t="s">
        <v>571</v>
      </c>
      <c r="B2" s="110">
        <v>1.0</v>
      </c>
      <c r="C2" s="110">
        <v>2.0</v>
      </c>
      <c r="D2" s="110">
        <v>3.0</v>
      </c>
      <c r="E2" s="110">
        <v>4.0</v>
      </c>
      <c r="F2" s="110">
        <v>5.0</v>
      </c>
      <c r="G2" s="110">
        <v>6.0</v>
      </c>
      <c r="H2" s="110">
        <v>7.0</v>
      </c>
      <c r="I2" s="110">
        <v>8.0</v>
      </c>
      <c r="J2" s="110">
        <v>9.0</v>
      </c>
      <c r="K2" s="110">
        <v>10.0</v>
      </c>
      <c r="L2" s="110">
        <v>11.0</v>
      </c>
      <c r="M2" s="110">
        <v>12.0</v>
      </c>
      <c r="N2" s="110">
        <v>13.0</v>
      </c>
      <c r="O2" s="111"/>
      <c r="P2" s="112"/>
      <c r="Q2" s="112"/>
      <c r="R2" s="112"/>
      <c r="S2" s="112"/>
      <c r="T2" s="113"/>
      <c r="U2" s="112"/>
      <c r="V2" s="112"/>
      <c r="W2" s="112"/>
      <c r="X2" s="112"/>
      <c r="Y2" s="112"/>
      <c r="Z2" s="112"/>
    </row>
    <row r="3">
      <c r="A3" s="110">
        <v>1.0</v>
      </c>
      <c r="B3" s="112">
        <f>MAX(0, ABS($A3 - B$2))</f>
        <v>0</v>
      </c>
      <c r="C3" s="112">
        <f t="shared" ref="C3:N3" si="1">MAX(0, $A3 - C$2)</f>
        <v>0</v>
      </c>
      <c r="D3" s="112">
        <f t="shared" si="1"/>
        <v>0</v>
      </c>
      <c r="E3" s="112">
        <f t="shared" si="1"/>
        <v>0</v>
      </c>
      <c r="F3" s="112">
        <f t="shared" si="1"/>
        <v>0</v>
      </c>
      <c r="G3" s="112">
        <f t="shared" si="1"/>
        <v>0</v>
      </c>
      <c r="H3" s="112">
        <f t="shared" si="1"/>
        <v>0</v>
      </c>
      <c r="I3" s="112">
        <f t="shared" si="1"/>
        <v>0</v>
      </c>
      <c r="J3" s="112">
        <f t="shared" si="1"/>
        <v>0</v>
      </c>
      <c r="K3" s="112">
        <f t="shared" si="1"/>
        <v>0</v>
      </c>
      <c r="L3" s="112">
        <f t="shared" si="1"/>
        <v>0</v>
      </c>
      <c r="M3" s="112">
        <f t="shared" si="1"/>
        <v>0</v>
      </c>
      <c r="N3" s="112">
        <f t="shared" si="1"/>
        <v>0</v>
      </c>
      <c r="O3" s="114">
        <f t="shared" ref="O3:O15" si="3">AVERAGE(B3:N3)</f>
        <v>0</v>
      </c>
      <c r="Q3" s="31" t="s">
        <v>572</v>
      </c>
      <c r="T3" s="109">
        <f>AVERAGE(O3:O15)</f>
        <v>2.153846154</v>
      </c>
    </row>
    <row r="4">
      <c r="A4" s="110">
        <v>2.0</v>
      </c>
      <c r="B4" s="112">
        <f t="shared" ref="B4:N4" si="2">MAX(0, $A4 - B$2)</f>
        <v>1</v>
      </c>
      <c r="C4" s="112">
        <f t="shared" si="2"/>
        <v>0</v>
      </c>
      <c r="D4" s="112">
        <f t="shared" si="2"/>
        <v>0</v>
      </c>
      <c r="E4" s="112">
        <f t="shared" si="2"/>
        <v>0</v>
      </c>
      <c r="F4" s="112">
        <f t="shared" si="2"/>
        <v>0</v>
      </c>
      <c r="G4" s="112">
        <f t="shared" si="2"/>
        <v>0</v>
      </c>
      <c r="H4" s="112">
        <f t="shared" si="2"/>
        <v>0</v>
      </c>
      <c r="I4" s="112">
        <f t="shared" si="2"/>
        <v>0</v>
      </c>
      <c r="J4" s="112">
        <f t="shared" si="2"/>
        <v>0</v>
      </c>
      <c r="K4" s="112">
        <f t="shared" si="2"/>
        <v>0</v>
      </c>
      <c r="L4" s="112">
        <f t="shared" si="2"/>
        <v>0</v>
      </c>
      <c r="M4" s="112">
        <f t="shared" si="2"/>
        <v>0</v>
      </c>
      <c r="N4" s="112">
        <f t="shared" si="2"/>
        <v>0</v>
      </c>
      <c r="O4" s="114">
        <f t="shared" si="3"/>
        <v>0.07692307692</v>
      </c>
      <c r="Q4" s="31" t="s">
        <v>573</v>
      </c>
      <c r="T4" s="109">
        <f>AVERAGE(T3,T5)</f>
        <v>3.051282051</v>
      </c>
    </row>
    <row r="5">
      <c r="A5" s="110">
        <v>3.0</v>
      </c>
      <c r="B5" s="112">
        <f t="shared" ref="B5:N5" si="4">MAX(0, $A5 - B$2)</f>
        <v>2</v>
      </c>
      <c r="C5" s="112">
        <f t="shared" si="4"/>
        <v>1</v>
      </c>
      <c r="D5" s="112">
        <f t="shared" si="4"/>
        <v>0</v>
      </c>
      <c r="E5" s="112">
        <f t="shared" si="4"/>
        <v>0</v>
      </c>
      <c r="F5" s="112">
        <f t="shared" si="4"/>
        <v>0</v>
      </c>
      <c r="G5" s="112">
        <f t="shared" si="4"/>
        <v>0</v>
      </c>
      <c r="H5" s="112">
        <f t="shared" si="4"/>
        <v>0</v>
      </c>
      <c r="I5" s="112">
        <f t="shared" si="4"/>
        <v>0</v>
      </c>
      <c r="J5" s="112">
        <f t="shared" si="4"/>
        <v>0</v>
      </c>
      <c r="K5" s="112">
        <f t="shared" si="4"/>
        <v>0</v>
      </c>
      <c r="L5" s="112">
        <f t="shared" si="4"/>
        <v>0</v>
      </c>
      <c r="M5" s="112">
        <f t="shared" si="4"/>
        <v>0</v>
      </c>
      <c r="N5" s="112">
        <f t="shared" si="4"/>
        <v>0</v>
      </c>
      <c r="O5" s="114">
        <f t="shared" si="3"/>
        <v>0.2307692308</v>
      </c>
      <c r="Q5" s="31" t="s">
        <v>574</v>
      </c>
      <c r="T5" s="109">
        <f>AVERAGE(O10:O15)</f>
        <v>3.948717949</v>
      </c>
    </row>
    <row r="6">
      <c r="A6" s="110">
        <v>4.0</v>
      </c>
      <c r="B6" s="112">
        <f t="shared" ref="B6:N6" si="5">MAX(0, $A6 - B$2)</f>
        <v>3</v>
      </c>
      <c r="C6" s="112">
        <f t="shared" si="5"/>
        <v>2</v>
      </c>
      <c r="D6" s="112">
        <f t="shared" si="5"/>
        <v>1</v>
      </c>
      <c r="E6" s="112">
        <f t="shared" si="5"/>
        <v>0</v>
      </c>
      <c r="F6" s="112">
        <f t="shared" si="5"/>
        <v>0</v>
      </c>
      <c r="G6" s="112">
        <f t="shared" si="5"/>
        <v>0</v>
      </c>
      <c r="H6" s="112">
        <f t="shared" si="5"/>
        <v>0</v>
      </c>
      <c r="I6" s="112">
        <f t="shared" si="5"/>
        <v>0</v>
      </c>
      <c r="J6" s="112">
        <f t="shared" si="5"/>
        <v>0</v>
      </c>
      <c r="K6" s="112">
        <f t="shared" si="5"/>
        <v>0</v>
      </c>
      <c r="L6" s="112">
        <f t="shared" si="5"/>
        <v>0</v>
      </c>
      <c r="M6" s="112">
        <f t="shared" si="5"/>
        <v>0</v>
      </c>
      <c r="N6" s="112">
        <f t="shared" si="5"/>
        <v>0</v>
      </c>
      <c r="O6" s="114">
        <f t="shared" si="3"/>
        <v>0.4615384615</v>
      </c>
      <c r="T6" s="109"/>
    </row>
    <row r="7">
      <c r="A7" s="110">
        <v>5.0</v>
      </c>
      <c r="B7" s="112">
        <f t="shared" ref="B7:N7" si="6">MAX(0, $A7 - B$2)</f>
        <v>4</v>
      </c>
      <c r="C7" s="112">
        <f t="shared" si="6"/>
        <v>3</v>
      </c>
      <c r="D7" s="112">
        <f t="shared" si="6"/>
        <v>2</v>
      </c>
      <c r="E7" s="112">
        <f t="shared" si="6"/>
        <v>1</v>
      </c>
      <c r="F7" s="112">
        <f t="shared" si="6"/>
        <v>0</v>
      </c>
      <c r="G7" s="112">
        <f t="shared" si="6"/>
        <v>0</v>
      </c>
      <c r="H7" s="112">
        <f t="shared" si="6"/>
        <v>0</v>
      </c>
      <c r="I7" s="112">
        <f t="shared" si="6"/>
        <v>0</v>
      </c>
      <c r="J7" s="112">
        <f t="shared" si="6"/>
        <v>0</v>
      </c>
      <c r="K7" s="112">
        <f t="shared" si="6"/>
        <v>0</v>
      </c>
      <c r="L7" s="112">
        <f t="shared" si="6"/>
        <v>0</v>
      </c>
      <c r="M7" s="112">
        <f t="shared" si="6"/>
        <v>0</v>
      </c>
      <c r="N7" s="112">
        <f t="shared" si="6"/>
        <v>0</v>
      </c>
      <c r="O7" s="114">
        <f t="shared" si="3"/>
        <v>0.7692307692</v>
      </c>
      <c r="Q7" s="31" t="s">
        <v>575</v>
      </c>
      <c r="T7" s="109">
        <f>AVERAGE(O3:O9)</f>
        <v>0.6153846154</v>
      </c>
    </row>
    <row r="8">
      <c r="A8" s="110">
        <v>6.0</v>
      </c>
      <c r="B8" s="112">
        <f t="shared" ref="B8:N8" si="7">MAX(0, $A8 - B$2)</f>
        <v>5</v>
      </c>
      <c r="C8" s="112">
        <f t="shared" si="7"/>
        <v>4</v>
      </c>
      <c r="D8" s="112">
        <f t="shared" si="7"/>
        <v>3</v>
      </c>
      <c r="E8" s="112">
        <f t="shared" si="7"/>
        <v>2</v>
      </c>
      <c r="F8" s="112">
        <f t="shared" si="7"/>
        <v>1</v>
      </c>
      <c r="G8" s="112">
        <f t="shared" si="7"/>
        <v>0</v>
      </c>
      <c r="H8" s="112">
        <f t="shared" si="7"/>
        <v>0</v>
      </c>
      <c r="I8" s="112">
        <f t="shared" si="7"/>
        <v>0</v>
      </c>
      <c r="J8" s="112">
        <f t="shared" si="7"/>
        <v>0</v>
      </c>
      <c r="K8" s="112">
        <f t="shared" si="7"/>
        <v>0</v>
      </c>
      <c r="L8" s="112">
        <f t="shared" si="7"/>
        <v>0</v>
      </c>
      <c r="M8" s="112">
        <f t="shared" si="7"/>
        <v>0</v>
      </c>
      <c r="N8" s="112">
        <f t="shared" si="7"/>
        <v>0</v>
      </c>
      <c r="O8" s="114">
        <f t="shared" si="3"/>
        <v>1.153846154</v>
      </c>
      <c r="T8" s="109"/>
    </row>
    <row r="9">
      <c r="A9" s="110">
        <v>7.0</v>
      </c>
      <c r="B9" s="112">
        <f t="shared" ref="B9:N9" si="8">MAX(0, $A9 - B$2)</f>
        <v>6</v>
      </c>
      <c r="C9" s="112">
        <f t="shared" si="8"/>
        <v>5</v>
      </c>
      <c r="D9" s="112">
        <f t="shared" si="8"/>
        <v>4</v>
      </c>
      <c r="E9" s="112">
        <f t="shared" si="8"/>
        <v>3</v>
      </c>
      <c r="F9" s="112">
        <f t="shared" si="8"/>
        <v>2</v>
      </c>
      <c r="G9" s="112">
        <f t="shared" si="8"/>
        <v>1</v>
      </c>
      <c r="H9" s="112">
        <f t="shared" si="8"/>
        <v>0</v>
      </c>
      <c r="I9" s="112">
        <f t="shared" si="8"/>
        <v>0</v>
      </c>
      <c r="J9" s="112">
        <f t="shared" si="8"/>
        <v>0</v>
      </c>
      <c r="K9" s="112">
        <f t="shared" si="8"/>
        <v>0</v>
      </c>
      <c r="L9" s="112">
        <f t="shared" si="8"/>
        <v>0</v>
      </c>
      <c r="M9" s="112">
        <f t="shared" si="8"/>
        <v>0</v>
      </c>
      <c r="N9" s="112">
        <f t="shared" si="8"/>
        <v>0</v>
      </c>
      <c r="O9" s="114">
        <f t="shared" si="3"/>
        <v>1.615384615</v>
      </c>
      <c r="T9" s="109"/>
    </row>
    <row r="10">
      <c r="A10" s="110">
        <v>8.0</v>
      </c>
      <c r="B10" s="112">
        <f t="shared" ref="B10:N10" si="9">MAX(0, $A10 - B$2)</f>
        <v>7</v>
      </c>
      <c r="C10" s="112">
        <f t="shared" si="9"/>
        <v>6</v>
      </c>
      <c r="D10" s="112">
        <f t="shared" si="9"/>
        <v>5</v>
      </c>
      <c r="E10" s="112">
        <f t="shared" si="9"/>
        <v>4</v>
      </c>
      <c r="F10" s="112">
        <f t="shared" si="9"/>
        <v>3</v>
      </c>
      <c r="G10" s="112">
        <f t="shared" si="9"/>
        <v>2</v>
      </c>
      <c r="H10" s="112">
        <f t="shared" si="9"/>
        <v>1</v>
      </c>
      <c r="I10" s="112">
        <f t="shared" si="9"/>
        <v>0</v>
      </c>
      <c r="J10" s="112">
        <f t="shared" si="9"/>
        <v>0</v>
      </c>
      <c r="K10" s="112">
        <f t="shared" si="9"/>
        <v>0</v>
      </c>
      <c r="L10" s="112">
        <f t="shared" si="9"/>
        <v>0</v>
      </c>
      <c r="M10" s="112">
        <f t="shared" si="9"/>
        <v>0</v>
      </c>
      <c r="N10" s="112">
        <f t="shared" si="9"/>
        <v>0</v>
      </c>
      <c r="O10" s="114">
        <f t="shared" si="3"/>
        <v>2.153846154</v>
      </c>
      <c r="T10" s="109"/>
    </row>
    <row r="11">
      <c r="A11" s="110">
        <v>9.0</v>
      </c>
      <c r="B11" s="112">
        <f t="shared" ref="B11:N11" si="10">MAX(0, $A11 - B$2)</f>
        <v>8</v>
      </c>
      <c r="C11" s="112">
        <f t="shared" si="10"/>
        <v>7</v>
      </c>
      <c r="D11" s="112">
        <f t="shared" si="10"/>
        <v>6</v>
      </c>
      <c r="E11" s="112">
        <f t="shared" si="10"/>
        <v>5</v>
      </c>
      <c r="F11" s="112">
        <f t="shared" si="10"/>
        <v>4</v>
      </c>
      <c r="G11" s="112">
        <f t="shared" si="10"/>
        <v>3</v>
      </c>
      <c r="H11" s="112">
        <f t="shared" si="10"/>
        <v>2</v>
      </c>
      <c r="I11" s="112">
        <f t="shared" si="10"/>
        <v>1</v>
      </c>
      <c r="J11" s="112">
        <f t="shared" si="10"/>
        <v>0</v>
      </c>
      <c r="K11" s="112">
        <f t="shared" si="10"/>
        <v>0</v>
      </c>
      <c r="L11" s="112">
        <f t="shared" si="10"/>
        <v>0</v>
      </c>
      <c r="M11" s="112">
        <f t="shared" si="10"/>
        <v>0</v>
      </c>
      <c r="N11" s="112">
        <f t="shared" si="10"/>
        <v>0</v>
      </c>
      <c r="O11" s="114">
        <f t="shared" si="3"/>
        <v>2.769230769</v>
      </c>
      <c r="T11" s="109"/>
    </row>
    <row r="12">
      <c r="A12" s="110">
        <v>10.0</v>
      </c>
      <c r="B12" s="112">
        <f t="shared" ref="B12:N12" si="11">MAX(0, $A12 - B$2)</f>
        <v>9</v>
      </c>
      <c r="C12" s="112">
        <f t="shared" si="11"/>
        <v>8</v>
      </c>
      <c r="D12" s="112">
        <f t="shared" si="11"/>
        <v>7</v>
      </c>
      <c r="E12" s="112">
        <f t="shared" si="11"/>
        <v>6</v>
      </c>
      <c r="F12" s="112">
        <f t="shared" si="11"/>
        <v>5</v>
      </c>
      <c r="G12" s="112">
        <f t="shared" si="11"/>
        <v>4</v>
      </c>
      <c r="H12" s="112">
        <f t="shared" si="11"/>
        <v>3</v>
      </c>
      <c r="I12" s="112">
        <f t="shared" si="11"/>
        <v>2</v>
      </c>
      <c r="J12" s="112">
        <f t="shared" si="11"/>
        <v>1</v>
      </c>
      <c r="K12" s="112">
        <f t="shared" si="11"/>
        <v>0</v>
      </c>
      <c r="L12" s="112">
        <f t="shared" si="11"/>
        <v>0</v>
      </c>
      <c r="M12" s="112">
        <f t="shared" si="11"/>
        <v>0</v>
      </c>
      <c r="N12" s="112">
        <f t="shared" si="11"/>
        <v>0</v>
      </c>
      <c r="O12" s="114">
        <f t="shared" si="3"/>
        <v>3.461538462</v>
      </c>
      <c r="T12" s="109"/>
    </row>
    <row r="13">
      <c r="A13" s="110">
        <v>11.0</v>
      </c>
      <c r="B13" s="112">
        <f t="shared" ref="B13:N13" si="12">MAX(0, $A13 - B$2)</f>
        <v>10</v>
      </c>
      <c r="C13" s="112">
        <f t="shared" si="12"/>
        <v>9</v>
      </c>
      <c r="D13" s="112">
        <f t="shared" si="12"/>
        <v>8</v>
      </c>
      <c r="E13" s="112">
        <f t="shared" si="12"/>
        <v>7</v>
      </c>
      <c r="F13" s="112">
        <f t="shared" si="12"/>
        <v>6</v>
      </c>
      <c r="G13" s="112">
        <f t="shared" si="12"/>
        <v>5</v>
      </c>
      <c r="H13" s="112">
        <f t="shared" si="12"/>
        <v>4</v>
      </c>
      <c r="I13" s="112">
        <f t="shared" si="12"/>
        <v>3</v>
      </c>
      <c r="J13" s="112">
        <f t="shared" si="12"/>
        <v>2</v>
      </c>
      <c r="K13" s="112">
        <f t="shared" si="12"/>
        <v>1</v>
      </c>
      <c r="L13" s="112">
        <f t="shared" si="12"/>
        <v>0</v>
      </c>
      <c r="M13" s="112">
        <f t="shared" si="12"/>
        <v>0</v>
      </c>
      <c r="N13" s="112">
        <f t="shared" si="12"/>
        <v>0</v>
      </c>
      <c r="O13" s="114">
        <f t="shared" si="3"/>
        <v>4.230769231</v>
      </c>
      <c r="T13" s="109"/>
    </row>
    <row r="14">
      <c r="A14" s="110">
        <v>12.0</v>
      </c>
      <c r="B14" s="112">
        <f t="shared" ref="B14:N14" si="13">MAX(0, $A14 - B$2)</f>
        <v>11</v>
      </c>
      <c r="C14" s="112">
        <f t="shared" si="13"/>
        <v>10</v>
      </c>
      <c r="D14" s="112">
        <f t="shared" si="13"/>
        <v>9</v>
      </c>
      <c r="E14" s="112">
        <f t="shared" si="13"/>
        <v>8</v>
      </c>
      <c r="F14" s="112">
        <f t="shared" si="13"/>
        <v>7</v>
      </c>
      <c r="G14" s="112">
        <f t="shared" si="13"/>
        <v>6</v>
      </c>
      <c r="H14" s="112">
        <f t="shared" si="13"/>
        <v>5</v>
      </c>
      <c r="I14" s="112">
        <f t="shared" si="13"/>
        <v>4</v>
      </c>
      <c r="J14" s="112">
        <f t="shared" si="13"/>
        <v>3</v>
      </c>
      <c r="K14" s="112">
        <f t="shared" si="13"/>
        <v>2</v>
      </c>
      <c r="L14" s="112">
        <f t="shared" si="13"/>
        <v>1</v>
      </c>
      <c r="M14" s="112">
        <f t="shared" si="13"/>
        <v>0</v>
      </c>
      <c r="N14" s="112">
        <f t="shared" si="13"/>
        <v>0</v>
      </c>
      <c r="O14" s="114">
        <f t="shared" si="3"/>
        <v>5.076923077</v>
      </c>
      <c r="T14" s="109"/>
    </row>
    <row r="15">
      <c r="A15" s="110">
        <v>13.0</v>
      </c>
      <c r="B15" s="112">
        <f t="shared" ref="B15:N15" si="14">MAX(0, $A15 - B$2)</f>
        <v>12</v>
      </c>
      <c r="C15" s="112">
        <f t="shared" si="14"/>
        <v>11</v>
      </c>
      <c r="D15" s="112">
        <f t="shared" si="14"/>
        <v>10</v>
      </c>
      <c r="E15" s="112">
        <f t="shared" si="14"/>
        <v>9</v>
      </c>
      <c r="F15" s="112">
        <f t="shared" si="14"/>
        <v>8</v>
      </c>
      <c r="G15" s="112">
        <f t="shared" si="14"/>
        <v>7</v>
      </c>
      <c r="H15" s="112">
        <f t="shared" si="14"/>
        <v>6</v>
      </c>
      <c r="I15" s="112">
        <f t="shared" si="14"/>
        <v>5</v>
      </c>
      <c r="J15" s="112">
        <f t="shared" si="14"/>
        <v>4</v>
      </c>
      <c r="K15" s="112">
        <f t="shared" si="14"/>
        <v>3</v>
      </c>
      <c r="L15" s="112">
        <f t="shared" si="14"/>
        <v>2</v>
      </c>
      <c r="M15" s="112">
        <f t="shared" si="14"/>
        <v>1</v>
      </c>
      <c r="N15" s="112">
        <f t="shared" si="14"/>
        <v>0</v>
      </c>
      <c r="O15" s="114">
        <f t="shared" si="3"/>
        <v>6</v>
      </c>
      <c r="T15" s="109"/>
    </row>
    <row r="16">
      <c r="O16" s="114"/>
      <c r="T16" s="109"/>
    </row>
    <row r="17">
      <c r="A17" s="31" t="s">
        <v>576</v>
      </c>
      <c r="T17" s="109"/>
    </row>
    <row r="18">
      <c r="A18" s="66" t="s">
        <v>571</v>
      </c>
      <c r="B18" s="110">
        <v>1.0</v>
      </c>
      <c r="C18" s="110">
        <v>2.0</v>
      </c>
      <c r="D18" s="110">
        <v>3.0</v>
      </c>
      <c r="E18" s="110">
        <v>4.0</v>
      </c>
      <c r="F18" s="110">
        <v>5.0</v>
      </c>
      <c r="G18" s="110">
        <v>6.0</v>
      </c>
      <c r="H18" s="110">
        <v>7.0</v>
      </c>
      <c r="I18" s="110">
        <v>8.0</v>
      </c>
      <c r="J18" s="110">
        <v>9.0</v>
      </c>
      <c r="K18" s="110">
        <v>10.0</v>
      </c>
      <c r="L18" s="110">
        <v>11.0</v>
      </c>
      <c r="M18" s="110">
        <v>12.0</v>
      </c>
      <c r="N18" s="110">
        <v>13.0</v>
      </c>
      <c r="O18" s="111"/>
      <c r="P18" s="112"/>
      <c r="Q18" s="112"/>
      <c r="R18" s="112"/>
      <c r="S18" s="112"/>
      <c r="T18" s="113"/>
    </row>
    <row r="19">
      <c r="A19" s="110">
        <v>1.0</v>
      </c>
      <c r="B19" s="112">
        <f t="shared" ref="B19:N19" si="15">MAX(0, ABS($A19 - B$18))</f>
        <v>0</v>
      </c>
      <c r="C19" s="112">
        <f t="shared" si="15"/>
        <v>1</v>
      </c>
      <c r="D19" s="112">
        <f t="shared" si="15"/>
        <v>2</v>
      </c>
      <c r="E19" s="112">
        <f t="shared" si="15"/>
        <v>3</v>
      </c>
      <c r="F19" s="112">
        <f t="shared" si="15"/>
        <v>4</v>
      </c>
      <c r="G19" s="112">
        <f t="shared" si="15"/>
        <v>5</v>
      </c>
      <c r="H19" s="112">
        <f t="shared" si="15"/>
        <v>6</v>
      </c>
      <c r="I19" s="112">
        <f t="shared" si="15"/>
        <v>7</v>
      </c>
      <c r="J19" s="112">
        <f t="shared" si="15"/>
        <v>8</v>
      </c>
      <c r="K19" s="112">
        <f t="shared" si="15"/>
        <v>9</v>
      </c>
      <c r="L19" s="112">
        <f t="shared" si="15"/>
        <v>10</v>
      </c>
      <c r="M19" s="112">
        <f t="shared" si="15"/>
        <v>11</v>
      </c>
      <c r="N19" s="112">
        <f t="shared" si="15"/>
        <v>12</v>
      </c>
      <c r="O19" s="114">
        <f t="shared" ref="O19:O31" si="17">AVERAGE(B19:N19)</f>
        <v>6</v>
      </c>
      <c r="Q19" s="31" t="s">
        <v>572</v>
      </c>
      <c r="T19" s="109">
        <f>AVERAGE(O19:O31)</f>
        <v>4.307692308</v>
      </c>
    </row>
    <row r="20">
      <c r="A20" s="110">
        <v>2.0</v>
      </c>
      <c r="B20" s="112">
        <f t="shared" ref="B20:N20" si="16">MAX(0, ABS($A20 - B$18))</f>
        <v>1</v>
      </c>
      <c r="C20" s="112">
        <f t="shared" si="16"/>
        <v>0</v>
      </c>
      <c r="D20" s="112">
        <f t="shared" si="16"/>
        <v>1</v>
      </c>
      <c r="E20" s="112">
        <f t="shared" si="16"/>
        <v>2</v>
      </c>
      <c r="F20" s="112">
        <f t="shared" si="16"/>
        <v>3</v>
      </c>
      <c r="G20" s="112">
        <f t="shared" si="16"/>
        <v>4</v>
      </c>
      <c r="H20" s="112">
        <f t="shared" si="16"/>
        <v>5</v>
      </c>
      <c r="I20" s="112">
        <f t="shared" si="16"/>
        <v>6</v>
      </c>
      <c r="J20" s="112">
        <f t="shared" si="16"/>
        <v>7</v>
      </c>
      <c r="K20" s="112">
        <f t="shared" si="16"/>
        <v>8</v>
      </c>
      <c r="L20" s="112">
        <f t="shared" si="16"/>
        <v>9</v>
      </c>
      <c r="M20" s="112">
        <f t="shared" si="16"/>
        <v>10</v>
      </c>
      <c r="N20" s="112">
        <f t="shared" si="16"/>
        <v>11</v>
      </c>
      <c r="O20" s="114">
        <f t="shared" si="17"/>
        <v>5.153846154</v>
      </c>
      <c r="T20" s="109"/>
    </row>
    <row r="21">
      <c r="A21" s="110">
        <v>3.0</v>
      </c>
      <c r="B21" s="112">
        <f t="shared" ref="B21:N21" si="18">MAX(0, ABS($A21 - B$18))</f>
        <v>2</v>
      </c>
      <c r="C21" s="112">
        <f t="shared" si="18"/>
        <v>1</v>
      </c>
      <c r="D21" s="112">
        <f t="shared" si="18"/>
        <v>0</v>
      </c>
      <c r="E21" s="112">
        <f t="shared" si="18"/>
        <v>1</v>
      </c>
      <c r="F21" s="112">
        <f t="shared" si="18"/>
        <v>2</v>
      </c>
      <c r="G21" s="112">
        <f t="shared" si="18"/>
        <v>3</v>
      </c>
      <c r="H21" s="112">
        <f t="shared" si="18"/>
        <v>4</v>
      </c>
      <c r="I21" s="112">
        <f t="shared" si="18"/>
        <v>5</v>
      </c>
      <c r="J21" s="112">
        <f t="shared" si="18"/>
        <v>6</v>
      </c>
      <c r="K21" s="112">
        <f t="shared" si="18"/>
        <v>7</v>
      </c>
      <c r="L21" s="112">
        <f t="shared" si="18"/>
        <v>8</v>
      </c>
      <c r="M21" s="112">
        <f t="shared" si="18"/>
        <v>9</v>
      </c>
      <c r="N21" s="112">
        <f t="shared" si="18"/>
        <v>10</v>
      </c>
      <c r="O21" s="114">
        <f t="shared" si="17"/>
        <v>4.461538462</v>
      </c>
      <c r="Q21" s="31" t="s">
        <v>574</v>
      </c>
      <c r="T21" s="109">
        <f>AVERAGE(O26:O31)</f>
        <v>4.397435897</v>
      </c>
    </row>
    <row r="22">
      <c r="A22" s="110">
        <v>4.0</v>
      </c>
      <c r="B22" s="112">
        <f t="shared" ref="B22:N22" si="19">MAX(0, ABS($A22 - B$18))</f>
        <v>3</v>
      </c>
      <c r="C22" s="112">
        <f t="shared" si="19"/>
        <v>2</v>
      </c>
      <c r="D22" s="112">
        <f t="shared" si="19"/>
        <v>1</v>
      </c>
      <c r="E22" s="112">
        <f t="shared" si="19"/>
        <v>0</v>
      </c>
      <c r="F22" s="112">
        <f t="shared" si="19"/>
        <v>1</v>
      </c>
      <c r="G22" s="112">
        <f t="shared" si="19"/>
        <v>2</v>
      </c>
      <c r="H22" s="112">
        <f t="shared" si="19"/>
        <v>3</v>
      </c>
      <c r="I22" s="112">
        <f t="shared" si="19"/>
        <v>4</v>
      </c>
      <c r="J22" s="112">
        <f t="shared" si="19"/>
        <v>5</v>
      </c>
      <c r="K22" s="112">
        <f t="shared" si="19"/>
        <v>6</v>
      </c>
      <c r="L22" s="112">
        <f t="shared" si="19"/>
        <v>7</v>
      </c>
      <c r="M22" s="112">
        <f t="shared" si="19"/>
        <v>8</v>
      </c>
      <c r="N22" s="112">
        <f t="shared" si="19"/>
        <v>9</v>
      </c>
      <c r="O22" s="114">
        <f t="shared" si="17"/>
        <v>3.923076923</v>
      </c>
      <c r="T22" s="109"/>
    </row>
    <row r="23">
      <c r="A23" s="110">
        <v>5.0</v>
      </c>
      <c r="B23" s="112">
        <f t="shared" ref="B23:N23" si="20">MAX(0, ABS($A23 - B$18))</f>
        <v>4</v>
      </c>
      <c r="C23" s="112">
        <f t="shared" si="20"/>
        <v>3</v>
      </c>
      <c r="D23" s="112">
        <f t="shared" si="20"/>
        <v>2</v>
      </c>
      <c r="E23" s="112">
        <f t="shared" si="20"/>
        <v>1</v>
      </c>
      <c r="F23" s="112">
        <f t="shared" si="20"/>
        <v>0</v>
      </c>
      <c r="G23" s="112">
        <f t="shared" si="20"/>
        <v>1</v>
      </c>
      <c r="H23" s="112">
        <f t="shared" si="20"/>
        <v>2</v>
      </c>
      <c r="I23" s="112">
        <f t="shared" si="20"/>
        <v>3</v>
      </c>
      <c r="J23" s="112">
        <f t="shared" si="20"/>
        <v>4</v>
      </c>
      <c r="K23" s="112">
        <f t="shared" si="20"/>
        <v>5</v>
      </c>
      <c r="L23" s="112">
        <f t="shared" si="20"/>
        <v>6</v>
      </c>
      <c r="M23" s="112">
        <f t="shared" si="20"/>
        <v>7</v>
      </c>
      <c r="N23" s="112">
        <f t="shared" si="20"/>
        <v>8</v>
      </c>
      <c r="O23" s="114">
        <f t="shared" si="17"/>
        <v>3.538461538</v>
      </c>
      <c r="Q23" s="31" t="s">
        <v>575</v>
      </c>
      <c r="T23" s="109">
        <f>AVERAGE(O19:O25)</f>
        <v>4.230769231</v>
      </c>
    </row>
    <row r="24">
      <c r="A24" s="110">
        <v>6.0</v>
      </c>
      <c r="B24" s="112">
        <f t="shared" ref="B24:N24" si="21">MAX(0, ABS($A24 - B$18))</f>
        <v>5</v>
      </c>
      <c r="C24" s="112">
        <f t="shared" si="21"/>
        <v>4</v>
      </c>
      <c r="D24" s="112">
        <f t="shared" si="21"/>
        <v>3</v>
      </c>
      <c r="E24" s="112">
        <f t="shared" si="21"/>
        <v>2</v>
      </c>
      <c r="F24" s="112">
        <f t="shared" si="21"/>
        <v>1</v>
      </c>
      <c r="G24" s="112">
        <f t="shared" si="21"/>
        <v>0</v>
      </c>
      <c r="H24" s="112">
        <f t="shared" si="21"/>
        <v>1</v>
      </c>
      <c r="I24" s="112">
        <f t="shared" si="21"/>
        <v>2</v>
      </c>
      <c r="J24" s="112">
        <f t="shared" si="21"/>
        <v>3</v>
      </c>
      <c r="K24" s="112">
        <f t="shared" si="21"/>
        <v>4</v>
      </c>
      <c r="L24" s="112">
        <f t="shared" si="21"/>
        <v>5</v>
      </c>
      <c r="M24" s="112">
        <f t="shared" si="21"/>
        <v>6</v>
      </c>
      <c r="N24" s="112">
        <f t="shared" si="21"/>
        <v>7</v>
      </c>
      <c r="O24" s="114">
        <f t="shared" si="17"/>
        <v>3.307692308</v>
      </c>
      <c r="T24" s="109"/>
    </row>
    <row r="25">
      <c r="A25" s="110">
        <v>7.0</v>
      </c>
      <c r="B25" s="112">
        <f t="shared" ref="B25:N25" si="22">MAX(0, ABS($A25 - B$18))</f>
        <v>6</v>
      </c>
      <c r="C25" s="112">
        <f t="shared" si="22"/>
        <v>5</v>
      </c>
      <c r="D25" s="112">
        <f t="shared" si="22"/>
        <v>4</v>
      </c>
      <c r="E25" s="112">
        <f t="shared" si="22"/>
        <v>3</v>
      </c>
      <c r="F25" s="112">
        <f t="shared" si="22"/>
        <v>2</v>
      </c>
      <c r="G25" s="112">
        <f t="shared" si="22"/>
        <v>1</v>
      </c>
      <c r="H25" s="112">
        <f t="shared" si="22"/>
        <v>0</v>
      </c>
      <c r="I25" s="112">
        <f t="shared" si="22"/>
        <v>1</v>
      </c>
      <c r="J25" s="112">
        <f t="shared" si="22"/>
        <v>2</v>
      </c>
      <c r="K25" s="112">
        <f t="shared" si="22"/>
        <v>3</v>
      </c>
      <c r="L25" s="112">
        <f t="shared" si="22"/>
        <v>4</v>
      </c>
      <c r="M25" s="112">
        <f t="shared" si="22"/>
        <v>5</v>
      </c>
      <c r="N25" s="112">
        <f t="shared" si="22"/>
        <v>6</v>
      </c>
      <c r="O25" s="114">
        <f t="shared" si="17"/>
        <v>3.230769231</v>
      </c>
      <c r="T25" s="109"/>
    </row>
    <row r="26">
      <c r="A26" s="110">
        <v>8.0</v>
      </c>
      <c r="B26" s="112">
        <f t="shared" ref="B26:N26" si="23">MAX(0, ABS($A26 - B$18))</f>
        <v>7</v>
      </c>
      <c r="C26" s="112">
        <f t="shared" si="23"/>
        <v>6</v>
      </c>
      <c r="D26" s="112">
        <f t="shared" si="23"/>
        <v>5</v>
      </c>
      <c r="E26" s="112">
        <f t="shared" si="23"/>
        <v>4</v>
      </c>
      <c r="F26" s="112">
        <f t="shared" si="23"/>
        <v>3</v>
      </c>
      <c r="G26" s="112">
        <f t="shared" si="23"/>
        <v>2</v>
      </c>
      <c r="H26" s="112">
        <f t="shared" si="23"/>
        <v>1</v>
      </c>
      <c r="I26" s="112">
        <f t="shared" si="23"/>
        <v>0</v>
      </c>
      <c r="J26" s="112">
        <f t="shared" si="23"/>
        <v>1</v>
      </c>
      <c r="K26" s="112">
        <f t="shared" si="23"/>
        <v>2</v>
      </c>
      <c r="L26" s="112">
        <f t="shared" si="23"/>
        <v>3</v>
      </c>
      <c r="M26" s="112">
        <f t="shared" si="23"/>
        <v>4</v>
      </c>
      <c r="N26" s="112">
        <f t="shared" si="23"/>
        <v>5</v>
      </c>
      <c r="O26" s="114">
        <f t="shared" si="17"/>
        <v>3.307692308</v>
      </c>
      <c r="T26" s="109"/>
    </row>
    <row r="27">
      <c r="A27" s="110">
        <v>9.0</v>
      </c>
      <c r="B27" s="112">
        <f t="shared" ref="B27:N27" si="24">MAX(0, ABS($A27 - B$18))</f>
        <v>8</v>
      </c>
      <c r="C27" s="112">
        <f t="shared" si="24"/>
        <v>7</v>
      </c>
      <c r="D27" s="112">
        <f t="shared" si="24"/>
        <v>6</v>
      </c>
      <c r="E27" s="112">
        <f t="shared" si="24"/>
        <v>5</v>
      </c>
      <c r="F27" s="112">
        <f t="shared" si="24"/>
        <v>4</v>
      </c>
      <c r="G27" s="112">
        <f t="shared" si="24"/>
        <v>3</v>
      </c>
      <c r="H27" s="112">
        <f t="shared" si="24"/>
        <v>2</v>
      </c>
      <c r="I27" s="112">
        <f t="shared" si="24"/>
        <v>1</v>
      </c>
      <c r="J27" s="112">
        <f t="shared" si="24"/>
        <v>0</v>
      </c>
      <c r="K27" s="112">
        <f t="shared" si="24"/>
        <v>1</v>
      </c>
      <c r="L27" s="112">
        <f t="shared" si="24"/>
        <v>2</v>
      </c>
      <c r="M27" s="112">
        <f t="shared" si="24"/>
        <v>3</v>
      </c>
      <c r="N27" s="112">
        <f t="shared" si="24"/>
        <v>4</v>
      </c>
      <c r="O27" s="114">
        <f t="shared" si="17"/>
        <v>3.538461538</v>
      </c>
      <c r="T27" s="109"/>
    </row>
    <row r="28">
      <c r="A28" s="110">
        <v>10.0</v>
      </c>
      <c r="B28" s="112">
        <f t="shared" ref="B28:N28" si="25">MAX(0, ABS($A28 - B$18))</f>
        <v>9</v>
      </c>
      <c r="C28" s="112">
        <f t="shared" si="25"/>
        <v>8</v>
      </c>
      <c r="D28" s="112">
        <f t="shared" si="25"/>
        <v>7</v>
      </c>
      <c r="E28" s="112">
        <f t="shared" si="25"/>
        <v>6</v>
      </c>
      <c r="F28" s="112">
        <f t="shared" si="25"/>
        <v>5</v>
      </c>
      <c r="G28" s="112">
        <f t="shared" si="25"/>
        <v>4</v>
      </c>
      <c r="H28" s="112">
        <f t="shared" si="25"/>
        <v>3</v>
      </c>
      <c r="I28" s="112">
        <f t="shared" si="25"/>
        <v>2</v>
      </c>
      <c r="J28" s="112">
        <f t="shared" si="25"/>
        <v>1</v>
      </c>
      <c r="K28" s="112">
        <f t="shared" si="25"/>
        <v>0</v>
      </c>
      <c r="L28" s="112">
        <f t="shared" si="25"/>
        <v>1</v>
      </c>
      <c r="M28" s="112">
        <f t="shared" si="25"/>
        <v>2</v>
      </c>
      <c r="N28" s="112">
        <f t="shared" si="25"/>
        <v>3</v>
      </c>
      <c r="O28" s="114">
        <f t="shared" si="17"/>
        <v>3.923076923</v>
      </c>
      <c r="T28" s="109"/>
    </row>
    <row r="29">
      <c r="A29" s="110">
        <v>11.0</v>
      </c>
      <c r="B29" s="112">
        <f t="shared" ref="B29:N29" si="26">MAX(0, ABS($A29 - B$18))</f>
        <v>10</v>
      </c>
      <c r="C29" s="112">
        <f t="shared" si="26"/>
        <v>9</v>
      </c>
      <c r="D29" s="112">
        <f t="shared" si="26"/>
        <v>8</v>
      </c>
      <c r="E29" s="112">
        <f t="shared" si="26"/>
        <v>7</v>
      </c>
      <c r="F29" s="112">
        <f t="shared" si="26"/>
        <v>6</v>
      </c>
      <c r="G29" s="112">
        <f t="shared" si="26"/>
        <v>5</v>
      </c>
      <c r="H29" s="112">
        <f t="shared" si="26"/>
        <v>4</v>
      </c>
      <c r="I29" s="112">
        <f t="shared" si="26"/>
        <v>3</v>
      </c>
      <c r="J29" s="112">
        <f t="shared" si="26"/>
        <v>2</v>
      </c>
      <c r="K29" s="112">
        <f t="shared" si="26"/>
        <v>1</v>
      </c>
      <c r="L29" s="112">
        <f t="shared" si="26"/>
        <v>0</v>
      </c>
      <c r="M29" s="112">
        <f t="shared" si="26"/>
        <v>1</v>
      </c>
      <c r="N29" s="112">
        <f t="shared" si="26"/>
        <v>2</v>
      </c>
      <c r="O29" s="114">
        <f t="shared" si="17"/>
        <v>4.461538462</v>
      </c>
      <c r="T29" s="109"/>
    </row>
    <row r="30">
      <c r="A30" s="110">
        <v>12.0</v>
      </c>
      <c r="B30" s="112">
        <f t="shared" ref="B30:N30" si="27">MAX(0, ABS($A30 - B$18))</f>
        <v>11</v>
      </c>
      <c r="C30" s="112">
        <f t="shared" si="27"/>
        <v>10</v>
      </c>
      <c r="D30" s="112">
        <f t="shared" si="27"/>
        <v>9</v>
      </c>
      <c r="E30" s="112">
        <f t="shared" si="27"/>
        <v>8</v>
      </c>
      <c r="F30" s="112">
        <f t="shared" si="27"/>
        <v>7</v>
      </c>
      <c r="G30" s="112">
        <f t="shared" si="27"/>
        <v>6</v>
      </c>
      <c r="H30" s="112">
        <f t="shared" si="27"/>
        <v>5</v>
      </c>
      <c r="I30" s="112">
        <f t="shared" si="27"/>
        <v>4</v>
      </c>
      <c r="J30" s="112">
        <f t="shared" si="27"/>
        <v>3</v>
      </c>
      <c r="K30" s="112">
        <f t="shared" si="27"/>
        <v>2</v>
      </c>
      <c r="L30" s="112">
        <f t="shared" si="27"/>
        <v>1</v>
      </c>
      <c r="M30" s="112">
        <f t="shared" si="27"/>
        <v>0</v>
      </c>
      <c r="N30" s="112">
        <f t="shared" si="27"/>
        <v>1</v>
      </c>
      <c r="O30" s="114">
        <f t="shared" si="17"/>
        <v>5.153846154</v>
      </c>
      <c r="T30" s="109"/>
    </row>
    <row r="31">
      <c r="A31" s="110">
        <v>13.0</v>
      </c>
      <c r="B31" s="112">
        <f t="shared" ref="B31:N31" si="28">MAX(0, ABS($A31 - B$18))</f>
        <v>12</v>
      </c>
      <c r="C31" s="112">
        <f t="shared" si="28"/>
        <v>11</v>
      </c>
      <c r="D31" s="112">
        <f t="shared" si="28"/>
        <v>10</v>
      </c>
      <c r="E31" s="112">
        <f t="shared" si="28"/>
        <v>9</v>
      </c>
      <c r="F31" s="112">
        <f t="shared" si="28"/>
        <v>8</v>
      </c>
      <c r="G31" s="112">
        <f t="shared" si="28"/>
        <v>7</v>
      </c>
      <c r="H31" s="112">
        <f t="shared" si="28"/>
        <v>6</v>
      </c>
      <c r="I31" s="112">
        <f t="shared" si="28"/>
        <v>5</v>
      </c>
      <c r="J31" s="112">
        <f t="shared" si="28"/>
        <v>4</v>
      </c>
      <c r="K31" s="112">
        <f t="shared" si="28"/>
        <v>3</v>
      </c>
      <c r="L31" s="112">
        <f t="shared" si="28"/>
        <v>2</v>
      </c>
      <c r="M31" s="112">
        <f t="shared" si="28"/>
        <v>1</v>
      </c>
      <c r="N31" s="112">
        <f t="shared" si="28"/>
        <v>0</v>
      </c>
      <c r="O31" s="114">
        <f t="shared" si="17"/>
        <v>6</v>
      </c>
      <c r="T31" s="109"/>
    </row>
    <row r="32">
      <c r="T32" s="109"/>
    </row>
    <row r="33">
      <c r="T33" s="109"/>
    </row>
    <row r="34">
      <c r="T34" s="109"/>
    </row>
    <row r="35">
      <c r="T35" s="109"/>
    </row>
    <row r="36">
      <c r="T36" s="109"/>
    </row>
    <row r="37">
      <c r="T37" s="109"/>
    </row>
    <row r="38">
      <c r="T38" s="109"/>
    </row>
    <row r="39">
      <c r="T39" s="109"/>
    </row>
    <row r="40">
      <c r="T40" s="109"/>
    </row>
    <row r="41">
      <c r="T41" s="109"/>
    </row>
    <row r="42">
      <c r="T42" s="109"/>
    </row>
    <row r="43">
      <c r="T43" s="109"/>
    </row>
    <row r="44">
      <c r="T44" s="109"/>
    </row>
    <row r="45">
      <c r="T45" s="109"/>
    </row>
    <row r="46">
      <c r="T46" s="109"/>
    </row>
    <row r="47">
      <c r="T47" s="109"/>
    </row>
    <row r="48">
      <c r="T48" s="109"/>
    </row>
    <row r="49">
      <c r="T49" s="109"/>
    </row>
    <row r="50">
      <c r="T50" s="109"/>
    </row>
    <row r="51">
      <c r="T51" s="109"/>
    </row>
    <row r="52">
      <c r="T52" s="109"/>
    </row>
    <row r="53">
      <c r="T53" s="109"/>
    </row>
    <row r="54">
      <c r="T54" s="109"/>
    </row>
    <row r="55">
      <c r="T55" s="109"/>
    </row>
    <row r="56">
      <c r="T56" s="109"/>
    </row>
    <row r="57">
      <c r="T57" s="109"/>
    </row>
    <row r="58">
      <c r="T58" s="109"/>
    </row>
    <row r="59">
      <c r="T59" s="109"/>
    </row>
    <row r="60">
      <c r="T60" s="109"/>
    </row>
    <row r="61">
      <c r="T61" s="109"/>
    </row>
    <row r="62">
      <c r="T62" s="109"/>
    </row>
    <row r="63">
      <c r="T63" s="109"/>
    </row>
    <row r="64">
      <c r="T64" s="109"/>
    </row>
    <row r="65">
      <c r="T65" s="109"/>
    </row>
    <row r="66">
      <c r="T66" s="109"/>
    </row>
    <row r="67">
      <c r="T67" s="109"/>
    </row>
    <row r="68">
      <c r="T68" s="109"/>
    </row>
    <row r="69">
      <c r="T69" s="109"/>
    </row>
    <row r="70">
      <c r="T70" s="109"/>
    </row>
    <row r="71">
      <c r="T71" s="109"/>
    </row>
    <row r="72">
      <c r="T72" s="109"/>
    </row>
    <row r="73">
      <c r="T73" s="109"/>
    </row>
    <row r="74">
      <c r="T74" s="109"/>
    </row>
    <row r="75">
      <c r="T75" s="109"/>
    </row>
    <row r="76">
      <c r="T76" s="109"/>
    </row>
    <row r="77">
      <c r="T77" s="109"/>
    </row>
    <row r="78">
      <c r="T78" s="109"/>
    </row>
    <row r="79">
      <c r="T79" s="109"/>
    </row>
    <row r="80">
      <c r="T80" s="109"/>
    </row>
    <row r="81">
      <c r="T81" s="109"/>
    </row>
    <row r="82">
      <c r="T82" s="109"/>
    </row>
    <row r="83">
      <c r="T83" s="109"/>
    </row>
    <row r="84">
      <c r="T84" s="109"/>
    </row>
    <row r="85">
      <c r="T85" s="109"/>
    </row>
    <row r="86">
      <c r="T86" s="109"/>
    </row>
    <row r="87">
      <c r="T87" s="109"/>
    </row>
    <row r="88">
      <c r="T88" s="109"/>
    </row>
    <row r="89">
      <c r="T89" s="109"/>
    </row>
    <row r="90">
      <c r="T90" s="109"/>
    </row>
    <row r="91">
      <c r="T91" s="109"/>
    </row>
    <row r="92">
      <c r="T92" s="109"/>
    </row>
    <row r="93">
      <c r="T93" s="109"/>
    </row>
    <row r="94">
      <c r="T94" s="109"/>
    </row>
    <row r="95">
      <c r="T95" s="109"/>
    </row>
    <row r="96">
      <c r="T96" s="109"/>
    </row>
    <row r="97">
      <c r="T97" s="109"/>
    </row>
    <row r="98">
      <c r="T98" s="109"/>
    </row>
    <row r="99">
      <c r="T99" s="109"/>
    </row>
    <row r="100">
      <c r="T100" s="109"/>
    </row>
    <row r="101">
      <c r="T101" s="109"/>
    </row>
    <row r="102">
      <c r="T102" s="109"/>
    </row>
    <row r="103">
      <c r="T103" s="109"/>
    </row>
    <row r="104">
      <c r="T104" s="109"/>
    </row>
    <row r="105">
      <c r="T105" s="109"/>
    </row>
    <row r="106">
      <c r="T106" s="109"/>
    </row>
    <row r="107">
      <c r="T107" s="109"/>
    </row>
    <row r="108">
      <c r="T108" s="109"/>
    </row>
    <row r="109">
      <c r="T109" s="109"/>
    </row>
    <row r="110">
      <c r="T110" s="109"/>
    </row>
    <row r="111">
      <c r="T111" s="109"/>
    </row>
    <row r="112">
      <c r="T112" s="109"/>
    </row>
    <row r="113">
      <c r="T113" s="109"/>
    </row>
    <row r="114">
      <c r="T114" s="109"/>
    </row>
    <row r="115">
      <c r="T115" s="109"/>
    </row>
    <row r="116">
      <c r="T116" s="109"/>
    </row>
    <row r="117">
      <c r="T117" s="109"/>
    </row>
    <row r="118">
      <c r="T118" s="109"/>
    </row>
    <row r="119">
      <c r="T119" s="109"/>
    </row>
    <row r="120">
      <c r="T120" s="109"/>
    </row>
    <row r="121">
      <c r="T121" s="109"/>
    </row>
    <row r="122">
      <c r="T122" s="109"/>
    </row>
    <row r="123">
      <c r="T123" s="109"/>
    </row>
    <row r="124">
      <c r="T124" s="109"/>
    </row>
    <row r="125">
      <c r="T125" s="109"/>
    </row>
    <row r="126">
      <c r="T126" s="109"/>
    </row>
    <row r="127">
      <c r="T127" s="109"/>
    </row>
    <row r="128">
      <c r="T128" s="109"/>
    </row>
    <row r="129">
      <c r="T129" s="109"/>
    </row>
    <row r="130">
      <c r="T130" s="109"/>
    </row>
    <row r="131">
      <c r="T131" s="109"/>
    </row>
    <row r="132">
      <c r="T132" s="109"/>
    </row>
    <row r="133">
      <c r="T133" s="109"/>
    </row>
    <row r="134">
      <c r="T134" s="109"/>
    </row>
    <row r="135">
      <c r="T135" s="109"/>
    </row>
    <row r="136">
      <c r="T136" s="109"/>
    </row>
    <row r="137">
      <c r="T137" s="109"/>
    </row>
    <row r="138">
      <c r="T138" s="109"/>
    </row>
    <row r="139">
      <c r="T139" s="109"/>
    </row>
    <row r="140">
      <c r="T140" s="109"/>
    </row>
    <row r="141">
      <c r="T141" s="109"/>
    </row>
    <row r="142">
      <c r="T142" s="109"/>
    </row>
    <row r="143">
      <c r="T143" s="109"/>
    </row>
    <row r="144">
      <c r="T144" s="109"/>
    </row>
    <row r="145">
      <c r="T145" s="109"/>
    </row>
    <row r="146">
      <c r="T146" s="109"/>
    </row>
    <row r="147">
      <c r="T147" s="109"/>
    </row>
    <row r="148">
      <c r="T148" s="109"/>
    </row>
    <row r="149">
      <c r="T149" s="109"/>
    </row>
    <row r="150">
      <c r="T150" s="109"/>
    </row>
    <row r="151">
      <c r="T151" s="109"/>
    </row>
    <row r="152">
      <c r="T152" s="109"/>
    </row>
    <row r="153">
      <c r="T153" s="109"/>
    </row>
    <row r="154">
      <c r="T154" s="109"/>
    </row>
    <row r="155">
      <c r="T155" s="109"/>
    </row>
    <row r="156">
      <c r="T156" s="109"/>
    </row>
    <row r="157">
      <c r="T157" s="109"/>
    </row>
    <row r="158">
      <c r="T158" s="109"/>
    </row>
    <row r="159">
      <c r="T159" s="109"/>
    </row>
    <row r="160">
      <c r="T160" s="109"/>
    </row>
    <row r="161">
      <c r="T161" s="109"/>
    </row>
    <row r="162">
      <c r="T162" s="109"/>
    </row>
    <row r="163">
      <c r="T163" s="109"/>
    </row>
    <row r="164">
      <c r="T164" s="109"/>
    </row>
    <row r="165">
      <c r="T165" s="109"/>
    </row>
    <row r="166">
      <c r="T166" s="109"/>
    </row>
    <row r="167">
      <c r="T167" s="109"/>
    </row>
    <row r="168">
      <c r="T168" s="109"/>
    </row>
    <row r="169">
      <c r="T169" s="109"/>
    </row>
    <row r="170">
      <c r="T170" s="109"/>
    </row>
    <row r="171">
      <c r="T171" s="109"/>
    </row>
    <row r="172">
      <c r="T172" s="109"/>
    </row>
    <row r="173">
      <c r="T173" s="109"/>
    </row>
    <row r="174">
      <c r="T174" s="109"/>
    </row>
    <row r="175">
      <c r="T175" s="109"/>
    </row>
    <row r="176">
      <c r="T176" s="109"/>
    </row>
    <row r="177">
      <c r="T177" s="109"/>
    </row>
    <row r="178">
      <c r="T178" s="109"/>
    </row>
    <row r="179">
      <c r="T179" s="109"/>
    </row>
    <row r="180">
      <c r="T180" s="109"/>
    </row>
    <row r="181">
      <c r="T181" s="109"/>
    </row>
    <row r="182">
      <c r="T182" s="109"/>
    </row>
    <row r="183">
      <c r="T183" s="109"/>
    </row>
    <row r="184">
      <c r="T184" s="109"/>
    </row>
    <row r="185">
      <c r="T185" s="109"/>
    </row>
    <row r="186">
      <c r="T186" s="109"/>
    </row>
    <row r="187">
      <c r="T187" s="109"/>
    </row>
    <row r="188">
      <c r="T188" s="109"/>
    </row>
    <row r="189">
      <c r="T189" s="109"/>
    </row>
    <row r="190">
      <c r="T190" s="109"/>
    </row>
    <row r="191">
      <c r="T191" s="109"/>
    </row>
    <row r="192">
      <c r="T192" s="109"/>
    </row>
    <row r="193">
      <c r="T193" s="109"/>
    </row>
    <row r="194">
      <c r="T194" s="109"/>
    </row>
    <row r="195">
      <c r="T195" s="109"/>
    </row>
    <row r="196">
      <c r="T196" s="109"/>
    </row>
    <row r="197">
      <c r="T197" s="109"/>
    </row>
    <row r="198">
      <c r="T198" s="109"/>
    </row>
    <row r="199">
      <c r="T199" s="109"/>
    </row>
    <row r="200">
      <c r="T200" s="109"/>
    </row>
    <row r="201">
      <c r="T201" s="109"/>
    </row>
    <row r="202">
      <c r="T202" s="109"/>
    </row>
    <row r="203">
      <c r="T203" s="109"/>
    </row>
    <row r="204">
      <c r="T204" s="109"/>
    </row>
    <row r="205">
      <c r="T205" s="109"/>
    </row>
    <row r="206">
      <c r="T206" s="109"/>
    </row>
    <row r="207">
      <c r="T207" s="109"/>
    </row>
    <row r="208">
      <c r="T208" s="109"/>
    </row>
    <row r="209">
      <c r="T209" s="109"/>
    </row>
    <row r="210">
      <c r="T210" s="109"/>
    </row>
    <row r="211">
      <c r="T211" s="109"/>
    </row>
    <row r="212">
      <c r="T212" s="109"/>
    </row>
    <row r="213">
      <c r="T213" s="109"/>
    </row>
    <row r="214">
      <c r="T214" s="109"/>
    </row>
    <row r="215">
      <c r="T215" s="109"/>
    </row>
    <row r="216">
      <c r="T216" s="109"/>
    </row>
    <row r="217">
      <c r="T217" s="109"/>
    </row>
    <row r="218">
      <c r="T218" s="109"/>
    </row>
    <row r="219">
      <c r="T219" s="109"/>
    </row>
    <row r="220">
      <c r="T220" s="109"/>
    </row>
    <row r="221">
      <c r="T221" s="109"/>
    </row>
    <row r="222">
      <c r="T222" s="109"/>
    </row>
    <row r="223">
      <c r="T223" s="109"/>
    </row>
    <row r="224">
      <c r="T224" s="109"/>
    </row>
    <row r="225">
      <c r="T225" s="109"/>
    </row>
    <row r="226">
      <c r="T226" s="109"/>
    </row>
    <row r="227">
      <c r="T227" s="109"/>
    </row>
    <row r="228">
      <c r="T228" s="109"/>
    </row>
    <row r="229">
      <c r="T229" s="109"/>
    </row>
    <row r="230">
      <c r="T230" s="109"/>
    </row>
    <row r="231">
      <c r="T231" s="109"/>
    </row>
    <row r="232">
      <c r="T232" s="109"/>
    </row>
    <row r="233">
      <c r="T233" s="109"/>
    </row>
    <row r="234">
      <c r="T234" s="109"/>
    </row>
    <row r="235">
      <c r="T235" s="109"/>
    </row>
    <row r="236">
      <c r="T236" s="109"/>
    </row>
    <row r="237">
      <c r="T237" s="109"/>
    </row>
    <row r="238">
      <c r="T238" s="109"/>
    </row>
    <row r="239">
      <c r="T239" s="109"/>
    </row>
    <row r="240">
      <c r="T240" s="109"/>
    </row>
    <row r="241">
      <c r="T241" s="109"/>
    </row>
    <row r="242">
      <c r="T242" s="109"/>
    </row>
    <row r="243">
      <c r="T243" s="109"/>
    </row>
    <row r="244">
      <c r="T244" s="109"/>
    </row>
    <row r="245">
      <c r="T245" s="109"/>
    </row>
    <row r="246">
      <c r="T246" s="109"/>
    </row>
    <row r="247">
      <c r="T247" s="109"/>
    </row>
    <row r="248">
      <c r="T248" s="109"/>
    </row>
    <row r="249">
      <c r="T249" s="109"/>
    </row>
    <row r="250">
      <c r="T250" s="109"/>
    </row>
    <row r="251">
      <c r="T251" s="109"/>
    </row>
    <row r="252">
      <c r="T252" s="109"/>
    </row>
    <row r="253">
      <c r="T253" s="109"/>
    </row>
    <row r="254">
      <c r="T254" s="109"/>
    </row>
    <row r="255">
      <c r="T255" s="109"/>
    </row>
    <row r="256">
      <c r="T256" s="109"/>
    </row>
    <row r="257">
      <c r="T257" s="109"/>
    </row>
    <row r="258">
      <c r="T258" s="109"/>
    </row>
    <row r="259">
      <c r="T259" s="109"/>
    </row>
    <row r="260">
      <c r="T260" s="109"/>
    </row>
    <row r="261">
      <c r="T261" s="109"/>
    </row>
    <row r="262">
      <c r="T262" s="109"/>
    </row>
    <row r="263">
      <c r="T263" s="109"/>
    </row>
    <row r="264">
      <c r="T264" s="109"/>
    </row>
    <row r="265">
      <c r="T265" s="109"/>
    </row>
    <row r="266">
      <c r="T266" s="109"/>
    </row>
    <row r="267">
      <c r="T267" s="109"/>
    </row>
    <row r="268">
      <c r="T268" s="109"/>
    </row>
    <row r="269">
      <c r="T269" s="109"/>
    </row>
    <row r="270">
      <c r="T270" s="109"/>
    </row>
    <row r="271">
      <c r="T271" s="109"/>
    </row>
    <row r="272">
      <c r="T272" s="109"/>
    </row>
    <row r="273">
      <c r="T273" s="109"/>
    </row>
    <row r="274">
      <c r="T274" s="109"/>
    </row>
    <row r="275">
      <c r="T275" s="109"/>
    </row>
    <row r="276">
      <c r="T276" s="109"/>
    </row>
    <row r="277">
      <c r="T277" s="109"/>
    </row>
    <row r="278">
      <c r="T278" s="109"/>
    </row>
    <row r="279">
      <c r="T279" s="109"/>
    </row>
    <row r="280">
      <c r="T280" s="109"/>
    </row>
    <row r="281">
      <c r="T281" s="109"/>
    </row>
    <row r="282">
      <c r="T282" s="109"/>
    </row>
    <row r="283">
      <c r="T283" s="109"/>
    </row>
    <row r="284">
      <c r="T284" s="109"/>
    </row>
    <row r="285">
      <c r="T285" s="109"/>
    </row>
    <row r="286">
      <c r="T286" s="109"/>
    </row>
    <row r="287">
      <c r="T287" s="109"/>
    </row>
    <row r="288">
      <c r="T288" s="109"/>
    </row>
    <row r="289">
      <c r="T289" s="109"/>
    </row>
    <row r="290">
      <c r="T290" s="109"/>
    </row>
    <row r="291">
      <c r="T291" s="109"/>
    </row>
    <row r="292">
      <c r="T292" s="109"/>
    </row>
    <row r="293">
      <c r="T293" s="109"/>
    </row>
    <row r="294">
      <c r="T294" s="109"/>
    </row>
    <row r="295">
      <c r="T295" s="109"/>
    </row>
    <row r="296">
      <c r="T296" s="109"/>
    </row>
    <row r="297">
      <c r="T297" s="109"/>
    </row>
    <row r="298">
      <c r="T298" s="109"/>
    </row>
    <row r="299">
      <c r="T299" s="109"/>
    </row>
    <row r="300">
      <c r="T300" s="109"/>
    </row>
    <row r="301">
      <c r="T301" s="109"/>
    </row>
    <row r="302">
      <c r="T302" s="109"/>
    </row>
    <row r="303">
      <c r="T303" s="109"/>
    </row>
    <row r="304">
      <c r="T304" s="109"/>
    </row>
    <row r="305">
      <c r="T305" s="109"/>
    </row>
    <row r="306">
      <c r="T306" s="109"/>
    </row>
    <row r="307">
      <c r="T307" s="109"/>
    </row>
    <row r="308">
      <c r="T308" s="109"/>
    </row>
    <row r="309">
      <c r="T309" s="109"/>
    </row>
    <row r="310">
      <c r="T310" s="109"/>
    </row>
    <row r="311">
      <c r="T311" s="109"/>
    </row>
    <row r="312">
      <c r="T312" s="109"/>
    </row>
    <row r="313">
      <c r="T313" s="109"/>
    </row>
    <row r="314">
      <c r="T314" s="109"/>
    </row>
    <row r="315">
      <c r="T315" s="109"/>
    </row>
    <row r="316">
      <c r="T316" s="109"/>
    </row>
    <row r="317">
      <c r="T317" s="109"/>
    </row>
    <row r="318">
      <c r="T318" s="109"/>
    </row>
    <row r="319">
      <c r="T319" s="109"/>
    </row>
    <row r="320">
      <c r="T320" s="109"/>
    </row>
    <row r="321">
      <c r="T321" s="109"/>
    </row>
    <row r="322">
      <c r="T322" s="109"/>
    </row>
    <row r="323">
      <c r="T323" s="109"/>
    </row>
    <row r="324">
      <c r="T324" s="109"/>
    </row>
    <row r="325">
      <c r="T325" s="109"/>
    </row>
    <row r="326">
      <c r="T326" s="109"/>
    </row>
    <row r="327">
      <c r="T327" s="109"/>
    </row>
    <row r="328">
      <c r="T328" s="109"/>
    </row>
    <row r="329">
      <c r="T329" s="109"/>
    </row>
    <row r="330">
      <c r="T330" s="109"/>
    </row>
    <row r="331">
      <c r="T331" s="109"/>
    </row>
    <row r="332">
      <c r="T332" s="109"/>
    </row>
    <row r="333">
      <c r="T333" s="109"/>
    </row>
    <row r="334">
      <c r="T334" s="109"/>
    </row>
    <row r="335">
      <c r="T335" s="109"/>
    </row>
    <row r="336">
      <c r="T336" s="109"/>
    </row>
    <row r="337">
      <c r="T337" s="109"/>
    </row>
    <row r="338">
      <c r="T338" s="109"/>
    </row>
    <row r="339">
      <c r="T339" s="109"/>
    </row>
    <row r="340">
      <c r="T340" s="109"/>
    </row>
    <row r="341">
      <c r="T341" s="109"/>
    </row>
    <row r="342">
      <c r="T342" s="109"/>
    </row>
    <row r="343">
      <c r="T343" s="109"/>
    </row>
    <row r="344">
      <c r="T344" s="109"/>
    </row>
    <row r="345">
      <c r="T345" s="109"/>
    </row>
    <row r="346">
      <c r="T346" s="109"/>
    </row>
    <row r="347">
      <c r="T347" s="109"/>
    </row>
    <row r="348">
      <c r="T348" s="109"/>
    </row>
    <row r="349">
      <c r="T349" s="109"/>
    </row>
    <row r="350">
      <c r="T350" s="109"/>
    </row>
    <row r="351">
      <c r="T351" s="109"/>
    </row>
    <row r="352">
      <c r="T352" s="109"/>
    </row>
    <row r="353">
      <c r="T353" s="109"/>
    </row>
    <row r="354">
      <c r="T354" s="109"/>
    </row>
    <row r="355">
      <c r="T355" s="109"/>
    </row>
    <row r="356">
      <c r="T356" s="109"/>
    </row>
    <row r="357">
      <c r="T357" s="109"/>
    </row>
    <row r="358">
      <c r="T358" s="109"/>
    </row>
    <row r="359">
      <c r="T359" s="109"/>
    </row>
    <row r="360">
      <c r="T360" s="109"/>
    </row>
    <row r="361">
      <c r="T361" s="109"/>
    </row>
    <row r="362">
      <c r="T362" s="109"/>
    </row>
    <row r="363">
      <c r="T363" s="109"/>
    </row>
    <row r="364">
      <c r="T364" s="109"/>
    </row>
    <row r="365">
      <c r="T365" s="109"/>
    </row>
    <row r="366">
      <c r="T366" s="109"/>
    </row>
    <row r="367">
      <c r="T367" s="109"/>
    </row>
    <row r="368">
      <c r="T368" s="109"/>
    </row>
    <row r="369">
      <c r="T369" s="109"/>
    </row>
    <row r="370">
      <c r="T370" s="109"/>
    </row>
    <row r="371">
      <c r="T371" s="109"/>
    </row>
    <row r="372">
      <c r="T372" s="109"/>
    </row>
    <row r="373">
      <c r="T373" s="109"/>
    </row>
    <row r="374">
      <c r="T374" s="109"/>
    </row>
    <row r="375">
      <c r="T375" s="109"/>
    </row>
    <row r="376">
      <c r="T376" s="109"/>
    </row>
    <row r="377">
      <c r="T377" s="109"/>
    </row>
    <row r="378">
      <c r="T378" s="109"/>
    </row>
    <row r="379">
      <c r="T379" s="109"/>
    </row>
    <row r="380">
      <c r="T380" s="109"/>
    </row>
    <row r="381">
      <c r="T381" s="109"/>
    </row>
    <row r="382">
      <c r="T382" s="109"/>
    </row>
    <row r="383">
      <c r="T383" s="109"/>
    </row>
    <row r="384">
      <c r="T384" s="109"/>
    </row>
    <row r="385">
      <c r="T385" s="109"/>
    </row>
    <row r="386">
      <c r="T386" s="109"/>
    </row>
    <row r="387">
      <c r="T387" s="109"/>
    </row>
    <row r="388">
      <c r="T388" s="109"/>
    </row>
    <row r="389">
      <c r="T389" s="109"/>
    </row>
    <row r="390">
      <c r="T390" s="109"/>
    </row>
    <row r="391">
      <c r="T391" s="109"/>
    </row>
    <row r="392">
      <c r="T392" s="109"/>
    </row>
    <row r="393">
      <c r="T393" s="109"/>
    </row>
    <row r="394">
      <c r="T394" s="109"/>
    </row>
    <row r="395">
      <c r="T395" s="109"/>
    </row>
    <row r="396">
      <c r="T396" s="109"/>
    </row>
    <row r="397">
      <c r="T397" s="109"/>
    </row>
    <row r="398">
      <c r="T398" s="109"/>
    </row>
    <row r="399">
      <c r="T399" s="109"/>
    </row>
    <row r="400">
      <c r="T400" s="109"/>
    </row>
    <row r="401">
      <c r="T401" s="109"/>
    </row>
    <row r="402">
      <c r="T402" s="109"/>
    </row>
    <row r="403">
      <c r="T403" s="109"/>
    </row>
    <row r="404">
      <c r="T404" s="109"/>
    </row>
    <row r="405">
      <c r="T405" s="109"/>
    </row>
    <row r="406">
      <c r="T406" s="109"/>
    </row>
    <row r="407">
      <c r="T407" s="109"/>
    </row>
    <row r="408">
      <c r="T408" s="109"/>
    </row>
    <row r="409">
      <c r="T409" s="109"/>
    </row>
    <row r="410">
      <c r="T410" s="109"/>
    </row>
    <row r="411">
      <c r="T411" s="109"/>
    </row>
    <row r="412">
      <c r="T412" s="109"/>
    </row>
    <row r="413">
      <c r="T413" s="109"/>
    </row>
    <row r="414">
      <c r="T414" s="109"/>
    </row>
    <row r="415">
      <c r="T415" s="109"/>
    </row>
    <row r="416">
      <c r="T416" s="109"/>
    </row>
    <row r="417">
      <c r="T417" s="109"/>
    </row>
    <row r="418">
      <c r="T418" s="109"/>
    </row>
    <row r="419">
      <c r="T419" s="109"/>
    </row>
    <row r="420">
      <c r="T420" s="109"/>
    </row>
    <row r="421">
      <c r="T421" s="109"/>
    </row>
    <row r="422">
      <c r="T422" s="109"/>
    </row>
    <row r="423">
      <c r="T423" s="109"/>
    </row>
    <row r="424">
      <c r="T424" s="109"/>
    </row>
    <row r="425">
      <c r="T425" s="109"/>
    </row>
    <row r="426">
      <c r="T426" s="109"/>
    </row>
    <row r="427">
      <c r="T427" s="109"/>
    </row>
    <row r="428">
      <c r="T428" s="109"/>
    </row>
    <row r="429">
      <c r="T429" s="109"/>
    </row>
    <row r="430">
      <c r="T430" s="109"/>
    </row>
    <row r="431">
      <c r="T431" s="109"/>
    </row>
    <row r="432">
      <c r="T432" s="109"/>
    </row>
    <row r="433">
      <c r="T433" s="109"/>
    </row>
    <row r="434">
      <c r="T434" s="109"/>
    </row>
    <row r="435">
      <c r="T435" s="109"/>
    </row>
    <row r="436">
      <c r="T436" s="109"/>
    </row>
    <row r="437">
      <c r="T437" s="109"/>
    </row>
    <row r="438">
      <c r="T438" s="109"/>
    </row>
    <row r="439">
      <c r="T439" s="109"/>
    </row>
    <row r="440">
      <c r="T440" s="109"/>
    </row>
    <row r="441">
      <c r="T441" s="109"/>
    </row>
    <row r="442">
      <c r="T442" s="109"/>
    </row>
    <row r="443">
      <c r="T443" s="109"/>
    </row>
    <row r="444">
      <c r="T444" s="109"/>
    </row>
    <row r="445">
      <c r="T445" s="109"/>
    </row>
    <row r="446">
      <c r="T446" s="109"/>
    </row>
    <row r="447">
      <c r="T447" s="109"/>
    </row>
    <row r="448">
      <c r="T448" s="109"/>
    </row>
    <row r="449">
      <c r="T449" s="109"/>
    </row>
    <row r="450">
      <c r="T450" s="109"/>
    </row>
    <row r="451">
      <c r="T451" s="109"/>
    </row>
    <row r="452">
      <c r="T452" s="109"/>
    </row>
    <row r="453">
      <c r="T453" s="109"/>
    </row>
    <row r="454">
      <c r="T454" s="109"/>
    </row>
    <row r="455">
      <c r="T455" s="109"/>
    </row>
    <row r="456">
      <c r="T456" s="109"/>
    </row>
    <row r="457">
      <c r="T457" s="109"/>
    </row>
    <row r="458">
      <c r="T458" s="109"/>
    </row>
    <row r="459">
      <c r="T459" s="109"/>
    </row>
    <row r="460">
      <c r="T460" s="109"/>
    </row>
    <row r="461">
      <c r="T461" s="109"/>
    </row>
    <row r="462">
      <c r="T462" s="109"/>
    </row>
    <row r="463">
      <c r="T463" s="109"/>
    </row>
    <row r="464">
      <c r="T464" s="109"/>
    </row>
    <row r="465">
      <c r="T465" s="109"/>
    </row>
    <row r="466">
      <c r="T466" s="109"/>
    </row>
    <row r="467">
      <c r="T467" s="109"/>
    </row>
    <row r="468">
      <c r="T468" s="109"/>
    </row>
    <row r="469">
      <c r="T469" s="109"/>
    </row>
    <row r="470">
      <c r="T470" s="109"/>
    </row>
    <row r="471">
      <c r="T471" s="109"/>
    </row>
    <row r="472">
      <c r="T472" s="109"/>
    </row>
    <row r="473">
      <c r="T473" s="109"/>
    </row>
    <row r="474">
      <c r="T474" s="109"/>
    </row>
    <row r="475">
      <c r="T475" s="109"/>
    </row>
    <row r="476">
      <c r="T476" s="109"/>
    </row>
    <row r="477">
      <c r="T477" s="109"/>
    </row>
    <row r="478">
      <c r="T478" s="109"/>
    </row>
    <row r="479">
      <c r="T479" s="109"/>
    </row>
    <row r="480">
      <c r="T480" s="109"/>
    </row>
    <row r="481">
      <c r="T481" s="109"/>
    </row>
    <row r="482">
      <c r="T482" s="109"/>
    </row>
    <row r="483">
      <c r="T483" s="109"/>
    </row>
    <row r="484">
      <c r="T484" s="109"/>
    </row>
    <row r="485">
      <c r="T485" s="109"/>
    </row>
    <row r="486">
      <c r="T486" s="109"/>
    </row>
    <row r="487">
      <c r="T487" s="109"/>
    </row>
    <row r="488">
      <c r="T488" s="109"/>
    </row>
    <row r="489">
      <c r="T489" s="109"/>
    </row>
    <row r="490">
      <c r="T490" s="109"/>
    </row>
    <row r="491">
      <c r="T491" s="109"/>
    </row>
    <row r="492">
      <c r="T492" s="109"/>
    </row>
    <row r="493">
      <c r="T493" s="109"/>
    </row>
    <row r="494">
      <c r="T494" s="109"/>
    </row>
    <row r="495">
      <c r="T495" s="109"/>
    </row>
    <row r="496">
      <c r="T496" s="109"/>
    </row>
    <row r="497">
      <c r="T497" s="109"/>
    </row>
    <row r="498">
      <c r="T498" s="109"/>
    </row>
    <row r="499">
      <c r="T499" s="109"/>
    </row>
    <row r="500">
      <c r="T500" s="109"/>
    </row>
    <row r="501">
      <c r="T501" s="109"/>
    </row>
    <row r="502">
      <c r="T502" s="109"/>
    </row>
    <row r="503">
      <c r="T503" s="109"/>
    </row>
    <row r="504">
      <c r="T504" s="109"/>
    </row>
    <row r="505">
      <c r="T505" s="109"/>
    </row>
    <row r="506">
      <c r="T506" s="109"/>
    </row>
    <row r="507">
      <c r="T507" s="109"/>
    </row>
    <row r="508">
      <c r="T508" s="109"/>
    </row>
    <row r="509">
      <c r="T509" s="109"/>
    </row>
    <row r="510">
      <c r="T510" s="109"/>
    </row>
    <row r="511">
      <c r="T511" s="109"/>
    </row>
    <row r="512">
      <c r="T512" s="109"/>
    </row>
    <row r="513">
      <c r="T513" s="109"/>
    </row>
    <row r="514">
      <c r="T514" s="109"/>
    </row>
    <row r="515">
      <c r="T515" s="109"/>
    </row>
    <row r="516">
      <c r="T516" s="109"/>
    </row>
    <row r="517">
      <c r="T517" s="109"/>
    </row>
    <row r="518">
      <c r="T518" s="109"/>
    </row>
    <row r="519">
      <c r="T519" s="109"/>
    </row>
    <row r="520">
      <c r="T520" s="109"/>
    </row>
    <row r="521">
      <c r="T521" s="109"/>
    </row>
    <row r="522">
      <c r="T522" s="109"/>
    </row>
    <row r="523">
      <c r="T523" s="109"/>
    </row>
    <row r="524">
      <c r="T524" s="109"/>
    </row>
    <row r="525">
      <c r="T525" s="109"/>
    </row>
    <row r="526">
      <c r="T526" s="109"/>
    </row>
    <row r="527">
      <c r="T527" s="109"/>
    </row>
    <row r="528">
      <c r="T528" s="109"/>
    </row>
    <row r="529">
      <c r="T529" s="109"/>
    </row>
    <row r="530">
      <c r="T530" s="109"/>
    </row>
    <row r="531">
      <c r="T531" s="109"/>
    </row>
    <row r="532">
      <c r="T532" s="109"/>
    </row>
    <row r="533">
      <c r="T533" s="109"/>
    </row>
    <row r="534">
      <c r="T534" s="109"/>
    </row>
    <row r="535">
      <c r="T535" s="109"/>
    </row>
    <row r="536">
      <c r="T536" s="109"/>
    </row>
    <row r="537">
      <c r="T537" s="109"/>
    </row>
    <row r="538">
      <c r="T538" s="109"/>
    </row>
    <row r="539">
      <c r="T539" s="109"/>
    </row>
    <row r="540">
      <c r="T540" s="109"/>
    </row>
    <row r="541">
      <c r="T541" s="109"/>
    </row>
    <row r="542">
      <c r="T542" s="109"/>
    </row>
    <row r="543">
      <c r="T543" s="109"/>
    </row>
    <row r="544">
      <c r="T544" s="109"/>
    </row>
    <row r="545">
      <c r="T545" s="109"/>
    </row>
    <row r="546">
      <c r="T546" s="109"/>
    </row>
    <row r="547">
      <c r="T547" s="109"/>
    </row>
    <row r="548">
      <c r="T548" s="109"/>
    </row>
    <row r="549">
      <c r="T549" s="109"/>
    </row>
    <row r="550">
      <c r="T550" s="109"/>
    </row>
    <row r="551">
      <c r="T551" s="109"/>
    </row>
    <row r="552">
      <c r="T552" s="109"/>
    </row>
    <row r="553">
      <c r="T553" s="109"/>
    </row>
    <row r="554">
      <c r="T554" s="109"/>
    </row>
    <row r="555">
      <c r="T555" s="109"/>
    </row>
    <row r="556">
      <c r="T556" s="109"/>
    </row>
    <row r="557">
      <c r="T557" s="109"/>
    </row>
    <row r="558">
      <c r="T558" s="109"/>
    </row>
    <row r="559">
      <c r="T559" s="109"/>
    </row>
    <row r="560">
      <c r="T560" s="109"/>
    </row>
    <row r="561">
      <c r="T561" s="109"/>
    </row>
    <row r="562">
      <c r="T562" s="109"/>
    </row>
    <row r="563">
      <c r="T563" s="109"/>
    </row>
    <row r="564">
      <c r="T564" s="109"/>
    </row>
    <row r="565">
      <c r="T565" s="109"/>
    </row>
    <row r="566">
      <c r="T566" s="109"/>
    </row>
    <row r="567">
      <c r="T567" s="109"/>
    </row>
    <row r="568">
      <c r="T568" s="109"/>
    </row>
    <row r="569">
      <c r="T569" s="109"/>
    </row>
    <row r="570">
      <c r="T570" s="109"/>
    </row>
    <row r="571">
      <c r="T571" s="109"/>
    </row>
    <row r="572">
      <c r="T572" s="109"/>
    </row>
    <row r="573">
      <c r="T573" s="109"/>
    </row>
    <row r="574">
      <c r="T574" s="109"/>
    </row>
    <row r="575">
      <c r="T575" s="109"/>
    </row>
    <row r="576">
      <c r="T576" s="109"/>
    </row>
    <row r="577">
      <c r="T577" s="109"/>
    </row>
    <row r="578">
      <c r="T578" s="109"/>
    </row>
    <row r="579">
      <c r="T579" s="109"/>
    </row>
    <row r="580">
      <c r="T580" s="109"/>
    </row>
    <row r="581">
      <c r="T581" s="109"/>
    </row>
    <row r="582">
      <c r="T582" s="109"/>
    </row>
    <row r="583">
      <c r="T583" s="109"/>
    </row>
    <row r="584">
      <c r="T584" s="109"/>
    </row>
    <row r="585">
      <c r="T585" s="109"/>
    </row>
    <row r="586">
      <c r="T586" s="109"/>
    </row>
    <row r="587">
      <c r="T587" s="109"/>
    </row>
    <row r="588">
      <c r="T588" s="109"/>
    </row>
    <row r="589">
      <c r="T589" s="109"/>
    </row>
    <row r="590">
      <c r="T590" s="109"/>
    </row>
    <row r="591">
      <c r="T591" s="109"/>
    </row>
    <row r="592">
      <c r="T592" s="109"/>
    </row>
    <row r="593">
      <c r="T593" s="109"/>
    </row>
    <row r="594">
      <c r="T594" s="109"/>
    </row>
    <row r="595">
      <c r="T595" s="109"/>
    </row>
    <row r="596">
      <c r="T596" s="109"/>
    </row>
    <row r="597">
      <c r="T597" s="109"/>
    </row>
    <row r="598">
      <c r="T598" s="109"/>
    </row>
    <row r="599">
      <c r="T599" s="109"/>
    </row>
    <row r="600">
      <c r="T600" s="109"/>
    </row>
    <row r="601">
      <c r="T601" s="109"/>
    </row>
    <row r="602">
      <c r="T602" s="109"/>
    </row>
    <row r="603">
      <c r="T603" s="109"/>
    </row>
    <row r="604">
      <c r="T604" s="109"/>
    </row>
    <row r="605">
      <c r="T605" s="109"/>
    </row>
    <row r="606">
      <c r="T606" s="109"/>
    </row>
    <row r="607">
      <c r="T607" s="109"/>
    </row>
    <row r="608">
      <c r="T608" s="109"/>
    </row>
    <row r="609">
      <c r="T609" s="109"/>
    </row>
    <row r="610">
      <c r="T610" s="109"/>
    </row>
    <row r="611">
      <c r="T611" s="109"/>
    </row>
    <row r="612">
      <c r="T612" s="109"/>
    </row>
    <row r="613">
      <c r="T613" s="109"/>
    </row>
    <row r="614">
      <c r="T614" s="109"/>
    </row>
    <row r="615">
      <c r="T615" s="109"/>
    </row>
    <row r="616">
      <c r="T616" s="109"/>
    </row>
    <row r="617">
      <c r="T617" s="109"/>
    </row>
    <row r="618">
      <c r="T618" s="109"/>
    </row>
    <row r="619">
      <c r="T619" s="109"/>
    </row>
    <row r="620">
      <c r="T620" s="109"/>
    </row>
    <row r="621">
      <c r="T621" s="109"/>
    </row>
    <row r="622">
      <c r="T622" s="109"/>
    </row>
    <row r="623">
      <c r="T623" s="109"/>
    </row>
    <row r="624">
      <c r="T624" s="109"/>
    </row>
    <row r="625">
      <c r="T625" s="109"/>
    </row>
    <row r="626">
      <c r="T626" s="109"/>
    </row>
    <row r="627">
      <c r="T627" s="109"/>
    </row>
    <row r="628">
      <c r="T628" s="109"/>
    </row>
    <row r="629">
      <c r="T629" s="109"/>
    </row>
    <row r="630">
      <c r="T630" s="109"/>
    </row>
    <row r="631">
      <c r="T631" s="109"/>
    </row>
    <row r="632">
      <c r="T632" s="109"/>
    </row>
    <row r="633">
      <c r="T633" s="109"/>
    </row>
    <row r="634">
      <c r="T634" s="109"/>
    </row>
    <row r="635">
      <c r="T635" s="109"/>
    </row>
    <row r="636">
      <c r="T636" s="109"/>
    </row>
    <row r="637">
      <c r="T637" s="109"/>
    </row>
    <row r="638">
      <c r="T638" s="109"/>
    </row>
    <row r="639">
      <c r="T639" s="109"/>
    </row>
    <row r="640">
      <c r="T640" s="109"/>
    </row>
    <row r="641">
      <c r="T641" s="109"/>
    </row>
    <row r="642">
      <c r="T642" s="109"/>
    </row>
    <row r="643">
      <c r="T643" s="109"/>
    </row>
    <row r="644">
      <c r="T644" s="109"/>
    </row>
    <row r="645">
      <c r="T645" s="109"/>
    </row>
    <row r="646">
      <c r="T646" s="109"/>
    </row>
    <row r="647">
      <c r="T647" s="109"/>
    </row>
    <row r="648">
      <c r="T648" s="109"/>
    </row>
    <row r="649">
      <c r="T649" s="109"/>
    </row>
    <row r="650">
      <c r="T650" s="109"/>
    </row>
    <row r="651">
      <c r="T651" s="109"/>
    </row>
    <row r="652">
      <c r="T652" s="109"/>
    </row>
    <row r="653">
      <c r="T653" s="109"/>
    </row>
    <row r="654">
      <c r="T654" s="109"/>
    </row>
    <row r="655">
      <c r="T655" s="109"/>
    </row>
    <row r="656">
      <c r="T656" s="109"/>
    </row>
    <row r="657">
      <c r="T657" s="109"/>
    </row>
    <row r="658">
      <c r="T658" s="109"/>
    </row>
    <row r="659">
      <c r="T659" s="109"/>
    </row>
    <row r="660">
      <c r="T660" s="109"/>
    </row>
    <row r="661">
      <c r="T661" s="109"/>
    </row>
    <row r="662">
      <c r="T662" s="109"/>
    </row>
    <row r="663">
      <c r="T663" s="109"/>
    </row>
    <row r="664">
      <c r="T664" s="109"/>
    </row>
    <row r="665">
      <c r="T665" s="109"/>
    </row>
    <row r="666">
      <c r="T666" s="109"/>
    </row>
    <row r="667">
      <c r="T667" s="109"/>
    </row>
    <row r="668">
      <c r="T668" s="109"/>
    </row>
    <row r="669">
      <c r="T669" s="109"/>
    </row>
    <row r="670">
      <c r="T670" s="109"/>
    </row>
    <row r="671">
      <c r="T671" s="109"/>
    </row>
    <row r="672">
      <c r="T672" s="109"/>
    </row>
    <row r="673">
      <c r="T673" s="109"/>
    </row>
    <row r="674">
      <c r="T674" s="109"/>
    </row>
    <row r="675">
      <c r="T675" s="109"/>
    </row>
    <row r="676">
      <c r="T676" s="109"/>
    </row>
    <row r="677">
      <c r="T677" s="109"/>
    </row>
    <row r="678">
      <c r="T678" s="109"/>
    </row>
    <row r="679">
      <c r="T679" s="109"/>
    </row>
    <row r="680">
      <c r="T680" s="109"/>
    </row>
    <row r="681">
      <c r="T681" s="109"/>
    </row>
    <row r="682">
      <c r="T682" s="109"/>
    </row>
    <row r="683">
      <c r="T683" s="109"/>
    </row>
    <row r="684">
      <c r="T684" s="109"/>
    </row>
    <row r="685">
      <c r="T685" s="109"/>
    </row>
    <row r="686">
      <c r="T686" s="109"/>
    </row>
    <row r="687">
      <c r="T687" s="109"/>
    </row>
    <row r="688">
      <c r="T688" s="109"/>
    </row>
    <row r="689">
      <c r="T689" s="109"/>
    </row>
    <row r="690">
      <c r="T690" s="109"/>
    </row>
    <row r="691">
      <c r="T691" s="109"/>
    </row>
    <row r="692">
      <c r="T692" s="109"/>
    </row>
    <row r="693">
      <c r="T693" s="109"/>
    </row>
    <row r="694">
      <c r="T694" s="109"/>
    </row>
    <row r="695">
      <c r="T695" s="109"/>
    </row>
    <row r="696">
      <c r="T696" s="109"/>
    </row>
    <row r="697">
      <c r="T697" s="109"/>
    </row>
    <row r="698">
      <c r="T698" s="109"/>
    </row>
    <row r="699">
      <c r="T699" s="109"/>
    </row>
    <row r="700">
      <c r="T700" s="109"/>
    </row>
    <row r="701">
      <c r="T701" s="109"/>
    </row>
    <row r="702">
      <c r="T702" s="109"/>
    </row>
    <row r="703">
      <c r="T703" s="109"/>
    </row>
    <row r="704">
      <c r="T704" s="109"/>
    </row>
    <row r="705">
      <c r="T705" s="109"/>
    </row>
    <row r="706">
      <c r="T706" s="109"/>
    </row>
    <row r="707">
      <c r="T707" s="109"/>
    </row>
    <row r="708">
      <c r="T708" s="109"/>
    </row>
    <row r="709">
      <c r="T709" s="109"/>
    </row>
    <row r="710">
      <c r="T710" s="109"/>
    </row>
    <row r="711">
      <c r="T711" s="109"/>
    </row>
    <row r="712">
      <c r="T712" s="109"/>
    </row>
    <row r="713">
      <c r="T713" s="109"/>
    </row>
    <row r="714">
      <c r="T714" s="109"/>
    </row>
    <row r="715">
      <c r="T715" s="109"/>
    </row>
    <row r="716">
      <c r="T716" s="109"/>
    </row>
    <row r="717">
      <c r="T717" s="109"/>
    </row>
    <row r="718">
      <c r="T718" s="109"/>
    </row>
    <row r="719">
      <c r="T719" s="109"/>
    </row>
    <row r="720">
      <c r="T720" s="109"/>
    </row>
    <row r="721">
      <c r="T721" s="109"/>
    </row>
    <row r="722">
      <c r="T722" s="109"/>
    </row>
    <row r="723">
      <c r="T723" s="109"/>
    </row>
    <row r="724">
      <c r="T724" s="109"/>
    </row>
    <row r="725">
      <c r="T725" s="109"/>
    </row>
    <row r="726">
      <c r="T726" s="109"/>
    </row>
    <row r="727">
      <c r="T727" s="109"/>
    </row>
    <row r="728">
      <c r="T728" s="109"/>
    </row>
    <row r="729">
      <c r="T729" s="109"/>
    </row>
    <row r="730">
      <c r="T730" s="109"/>
    </row>
    <row r="731">
      <c r="T731" s="109"/>
    </row>
    <row r="732">
      <c r="T732" s="109"/>
    </row>
    <row r="733">
      <c r="T733" s="109"/>
    </row>
    <row r="734">
      <c r="T734" s="109"/>
    </row>
    <row r="735">
      <c r="T735" s="109"/>
    </row>
    <row r="736">
      <c r="T736" s="109"/>
    </row>
    <row r="737">
      <c r="T737" s="109"/>
    </row>
    <row r="738">
      <c r="T738" s="109"/>
    </row>
    <row r="739">
      <c r="T739" s="109"/>
    </row>
    <row r="740">
      <c r="T740" s="109"/>
    </row>
    <row r="741">
      <c r="T741" s="109"/>
    </row>
    <row r="742">
      <c r="T742" s="109"/>
    </row>
    <row r="743">
      <c r="T743" s="109"/>
    </row>
    <row r="744">
      <c r="T744" s="109"/>
    </row>
    <row r="745">
      <c r="T745" s="109"/>
    </row>
    <row r="746">
      <c r="T746" s="109"/>
    </row>
    <row r="747">
      <c r="T747" s="109"/>
    </row>
    <row r="748">
      <c r="T748" s="109"/>
    </row>
    <row r="749">
      <c r="T749" s="109"/>
    </row>
    <row r="750">
      <c r="T750" s="109"/>
    </row>
    <row r="751">
      <c r="T751" s="109"/>
    </row>
    <row r="752">
      <c r="T752" s="109"/>
    </row>
    <row r="753">
      <c r="T753" s="109"/>
    </row>
    <row r="754">
      <c r="T754" s="109"/>
    </row>
    <row r="755">
      <c r="T755" s="109"/>
    </row>
    <row r="756">
      <c r="T756" s="109"/>
    </row>
    <row r="757">
      <c r="T757" s="109"/>
    </row>
    <row r="758">
      <c r="T758" s="109"/>
    </row>
    <row r="759">
      <c r="T759" s="109"/>
    </row>
    <row r="760">
      <c r="T760" s="109"/>
    </row>
    <row r="761">
      <c r="T761" s="109"/>
    </row>
    <row r="762">
      <c r="T762" s="109"/>
    </row>
    <row r="763">
      <c r="T763" s="109"/>
    </row>
    <row r="764">
      <c r="T764" s="109"/>
    </row>
    <row r="765">
      <c r="T765" s="109"/>
    </row>
    <row r="766">
      <c r="T766" s="109"/>
    </row>
    <row r="767">
      <c r="T767" s="109"/>
    </row>
    <row r="768">
      <c r="T768" s="109"/>
    </row>
    <row r="769">
      <c r="T769" s="109"/>
    </row>
    <row r="770">
      <c r="T770" s="109"/>
    </row>
    <row r="771">
      <c r="T771" s="109"/>
    </row>
    <row r="772">
      <c r="T772" s="109"/>
    </row>
    <row r="773">
      <c r="T773" s="109"/>
    </row>
    <row r="774">
      <c r="T774" s="109"/>
    </row>
    <row r="775">
      <c r="T775" s="109"/>
    </row>
    <row r="776">
      <c r="T776" s="109"/>
    </row>
    <row r="777">
      <c r="T777" s="109"/>
    </row>
    <row r="778">
      <c r="T778" s="109"/>
    </row>
    <row r="779">
      <c r="T779" s="109"/>
    </row>
    <row r="780">
      <c r="T780" s="109"/>
    </row>
    <row r="781">
      <c r="T781" s="109"/>
    </row>
    <row r="782">
      <c r="T782" s="109"/>
    </row>
    <row r="783">
      <c r="T783" s="109"/>
    </row>
    <row r="784">
      <c r="T784" s="109"/>
    </row>
    <row r="785">
      <c r="T785" s="109"/>
    </row>
    <row r="786">
      <c r="T786" s="109"/>
    </row>
    <row r="787">
      <c r="T787" s="109"/>
    </row>
    <row r="788">
      <c r="T788" s="109"/>
    </row>
    <row r="789">
      <c r="T789" s="109"/>
    </row>
    <row r="790">
      <c r="T790" s="109"/>
    </row>
    <row r="791">
      <c r="T791" s="109"/>
    </row>
    <row r="792">
      <c r="T792" s="109"/>
    </row>
    <row r="793">
      <c r="T793" s="109"/>
    </row>
    <row r="794">
      <c r="T794" s="109"/>
    </row>
    <row r="795">
      <c r="T795" s="109"/>
    </row>
    <row r="796">
      <c r="T796" s="109"/>
    </row>
    <row r="797">
      <c r="T797" s="109"/>
    </row>
    <row r="798">
      <c r="T798" s="109"/>
    </row>
    <row r="799">
      <c r="T799" s="109"/>
    </row>
    <row r="800">
      <c r="T800" s="109"/>
    </row>
    <row r="801">
      <c r="T801" s="109"/>
    </row>
    <row r="802">
      <c r="T802" s="109"/>
    </row>
    <row r="803">
      <c r="T803" s="109"/>
    </row>
    <row r="804">
      <c r="T804" s="109"/>
    </row>
    <row r="805">
      <c r="T805" s="109"/>
    </row>
    <row r="806">
      <c r="T806" s="109"/>
    </row>
    <row r="807">
      <c r="T807" s="109"/>
    </row>
    <row r="808">
      <c r="T808" s="109"/>
    </row>
    <row r="809">
      <c r="T809" s="109"/>
    </row>
    <row r="810">
      <c r="T810" s="109"/>
    </row>
    <row r="811">
      <c r="T811" s="109"/>
    </row>
    <row r="812">
      <c r="T812" s="109"/>
    </row>
    <row r="813">
      <c r="T813" s="109"/>
    </row>
    <row r="814">
      <c r="T814" s="109"/>
    </row>
    <row r="815">
      <c r="T815" s="109"/>
    </row>
    <row r="816">
      <c r="T816" s="109"/>
    </row>
    <row r="817">
      <c r="T817" s="109"/>
    </row>
    <row r="818">
      <c r="T818" s="109"/>
    </row>
    <row r="819">
      <c r="T819" s="109"/>
    </row>
    <row r="820">
      <c r="T820" s="109"/>
    </row>
    <row r="821">
      <c r="T821" s="109"/>
    </row>
    <row r="822">
      <c r="T822" s="109"/>
    </row>
    <row r="823">
      <c r="T823" s="109"/>
    </row>
    <row r="824">
      <c r="T824" s="109"/>
    </row>
    <row r="825">
      <c r="T825" s="109"/>
    </row>
    <row r="826">
      <c r="T826" s="109"/>
    </row>
    <row r="827">
      <c r="T827" s="109"/>
    </row>
    <row r="828">
      <c r="T828" s="109"/>
    </row>
    <row r="829">
      <c r="T829" s="109"/>
    </row>
    <row r="830">
      <c r="T830" s="109"/>
    </row>
    <row r="831">
      <c r="T831" s="109"/>
    </row>
    <row r="832">
      <c r="T832" s="109"/>
    </row>
    <row r="833">
      <c r="T833" s="109"/>
    </row>
    <row r="834">
      <c r="T834" s="109"/>
    </row>
    <row r="835">
      <c r="T835" s="109"/>
    </row>
    <row r="836">
      <c r="T836" s="109"/>
    </row>
    <row r="837">
      <c r="T837" s="109"/>
    </row>
    <row r="838">
      <c r="T838" s="109"/>
    </row>
    <row r="839">
      <c r="T839" s="109"/>
    </row>
    <row r="840">
      <c r="T840" s="109"/>
    </row>
    <row r="841">
      <c r="T841" s="109"/>
    </row>
    <row r="842">
      <c r="T842" s="109"/>
    </row>
    <row r="843">
      <c r="T843" s="109"/>
    </row>
    <row r="844">
      <c r="T844" s="109"/>
    </row>
    <row r="845">
      <c r="T845" s="109"/>
    </row>
    <row r="846">
      <c r="T846" s="109"/>
    </row>
    <row r="847">
      <c r="T847" s="109"/>
    </row>
    <row r="848">
      <c r="T848" s="109"/>
    </row>
    <row r="849">
      <c r="T849" s="109"/>
    </row>
    <row r="850">
      <c r="T850" s="109"/>
    </row>
    <row r="851">
      <c r="T851" s="109"/>
    </row>
    <row r="852">
      <c r="T852" s="109"/>
    </row>
    <row r="853">
      <c r="T853" s="109"/>
    </row>
    <row r="854">
      <c r="T854" s="109"/>
    </row>
    <row r="855">
      <c r="T855" s="109"/>
    </row>
    <row r="856">
      <c r="T856" s="109"/>
    </row>
    <row r="857">
      <c r="T857" s="109"/>
    </row>
    <row r="858">
      <c r="T858" s="109"/>
    </row>
    <row r="859">
      <c r="T859" s="109"/>
    </row>
    <row r="860">
      <c r="T860" s="109"/>
    </row>
    <row r="861">
      <c r="T861" s="109"/>
    </row>
    <row r="862">
      <c r="T862" s="109"/>
    </row>
    <row r="863">
      <c r="T863" s="109"/>
    </row>
    <row r="864">
      <c r="T864" s="109"/>
    </row>
    <row r="865">
      <c r="T865" s="109"/>
    </row>
    <row r="866">
      <c r="T866" s="109"/>
    </row>
    <row r="867">
      <c r="T867" s="109"/>
    </row>
    <row r="868">
      <c r="T868" s="109"/>
    </row>
    <row r="869">
      <c r="T869" s="109"/>
    </row>
    <row r="870">
      <c r="T870" s="109"/>
    </row>
    <row r="871">
      <c r="T871" s="109"/>
    </row>
    <row r="872">
      <c r="T872" s="109"/>
    </row>
    <row r="873">
      <c r="T873" s="109"/>
    </row>
    <row r="874">
      <c r="T874" s="109"/>
    </row>
    <row r="875">
      <c r="T875" s="109"/>
    </row>
    <row r="876">
      <c r="T876" s="109"/>
    </row>
    <row r="877">
      <c r="T877" s="109"/>
    </row>
    <row r="878">
      <c r="T878" s="109"/>
    </row>
    <row r="879">
      <c r="T879" s="109"/>
    </row>
    <row r="880">
      <c r="T880" s="109"/>
    </row>
    <row r="881">
      <c r="T881" s="109"/>
    </row>
    <row r="882">
      <c r="T882" s="109"/>
    </row>
    <row r="883">
      <c r="T883" s="109"/>
    </row>
    <row r="884">
      <c r="T884" s="109"/>
    </row>
    <row r="885">
      <c r="T885" s="109"/>
    </row>
    <row r="886">
      <c r="T886" s="109"/>
    </row>
    <row r="887">
      <c r="T887" s="109"/>
    </row>
    <row r="888">
      <c r="T888" s="109"/>
    </row>
    <row r="889">
      <c r="T889" s="109"/>
    </row>
    <row r="890">
      <c r="T890" s="109"/>
    </row>
    <row r="891">
      <c r="T891" s="109"/>
    </row>
    <row r="892">
      <c r="T892" s="109"/>
    </row>
    <row r="893">
      <c r="T893" s="109"/>
    </row>
    <row r="894">
      <c r="T894" s="109"/>
    </row>
    <row r="895">
      <c r="T895" s="109"/>
    </row>
    <row r="896">
      <c r="T896" s="109"/>
    </row>
    <row r="897">
      <c r="T897" s="109"/>
    </row>
    <row r="898">
      <c r="T898" s="109"/>
    </row>
    <row r="899">
      <c r="T899" s="109"/>
    </row>
    <row r="900">
      <c r="T900" s="109"/>
    </row>
    <row r="901">
      <c r="T901" s="109"/>
    </row>
    <row r="902">
      <c r="T902" s="109"/>
    </row>
    <row r="903">
      <c r="T903" s="109"/>
    </row>
    <row r="904">
      <c r="T904" s="109"/>
    </row>
    <row r="905">
      <c r="T905" s="109"/>
    </row>
    <row r="906">
      <c r="T906" s="109"/>
    </row>
    <row r="907">
      <c r="T907" s="109"/>
    </row>
    <row r="908">
      <c r="T908" s="109"/>
    </row>
    <row r="909">
      <c r="T909" s="109"/>
    </row>
    <row r="910">
      <c r="T910" s="109"/>
    </row>
    <row r="911">
      <c r="T911" s="109"/>
    </row>
    <row r="912">
      <c r="T912" s="109"/>
    </row>
    <row r="913">
      <c r="T913" s="109"/>
    </row>
    <row r="914">
      <c r="T914" s="109"/>
    </row>
    <row r="915">
      <c r="T915" s="109"/>
    </row>
    <row r="916">
      <c r="T916" s="109"/>
    </row>
    <row r="917">
      <c r="T917" s="109"/>
    </row>
    <row r="918">
      <c r="T918" s="109"/>
    </row>
    <row r="919">
      <c r="T919" s="109"/>
    </row>
    <row r="920">
      <c r="T920" s="109"/>
    </row>
    <row r="921">
      <c r="T921" s="109"/>
    </row>
    <row r="922">
      <c r="T922" s="109"/>
    </row>
    <row r="923">
      <c r="T923" s="109"/>
    </row>
    <row r="924">
      <c r="T924" s="109"/>
    </row>
    <row r="925">
      <c r="T925" s="109"/>
    </row>
    <row r="926">
      <c r="T926" s="109"/>
    </row>
    <row r="927">
      <c r="T927" s="109"/>
    </row>
    <row r="928">
      <c r="T928" s="109"/>
    </row>
    <row r="929">
      <c r="T929" s="109"/>
    </row>
    <row r="930">
      <c r="T930" s="109"/>
    </row>
    <row r="931">
      <c r="T931" s="109"/>
    </row>
    <row r="932">
      <c r="T932" s="109"/>
    </row>
    <row r="933">
      <c r="T933" s="109"/>
    </row>
    <row r="934">
      <c r="T934" s="109"/>
    </row>
    <row r="935">
      <c r="T935" s="109"/>
    </row>
    <row r="936">
      <c r="T936" s="109"/>
    </row>
    <row r="937">
      <c r="T937" s="109"/>
    </row>
    <row r="938">
      <c r="T938" s="109"/>
    </row>
    <row r="939">
      <c r="T939" s="109"/>
    </row>
    <row r="940">
      <c r="T940" s="109"/>
    </row>
    <row r="941">
      <c r="T941" s="109"/>
    </row>
    <row r="942">
      <c r="T942" s="109"/>
    </row>
    <row r="943">
      <c r="T943" s="109"/>
    </row>
    <row r="944">
      <c r="T944" s="109"/>
    </row>
    <row r="945">
      <c r="T945" s="109"/>
    </row>
    <row r="946">
      <c r="T946" s="109"/>
    </row>
    <row r="947">
      <c r="T947" s="109"/>
    </row>
    <row r="948">
      <c r="T948" s="109"/>
    </row>
    <row r="949">
      <c r="T949" s="109"/>
    </row>
    <row r="950">
      <c r="T950" s="109"/>
    </row>
    <row r="951">
      <c r="T951" s="109"/>
    </row>
    <row r="952">
      <c r="T952" s="109"/>
    </row>
    <row r="953">
      <c r="T953" s="109"/>
    </row>
    <row r="954">
      <c r="T954" s="109"/>
    </row>
    <row r="955">
      <c r="T955" s="109"/>
    </row>
    <row r="956">
      <c r="T956" s="109"/>
    </row>
    <row r="957">
      <c r="T957" s="109"/>
    </row>
    <row r="958">
      <c r="T958" s="109"/>
    </row>
    <row r="959">
      <c r="T959" s="109"/>
    </row>
    <row r="960">
      <c r="T960" s="109"/>
    </row>
    <row r="961">
      <c r="T961" s="109"/>
    </row>
    <row r="962">
      <c r="T962" s="109"/>
    </row>
    <row r="963">
      <c r="T963" s="109"/>
    </row>
    <row r="964">
      <c r="T964" s="109"/>
    </row>
    <row r="965">
      <c r="T965" s="109"/>
    </row>
    <row r="966">
      <c r="T966" s="109"/>
    </row>
    <row r="967">
      <c r="T967" s="109"/>
    </row>
    <row r="968">
      <c r="T968" s="109"/>
    </row>
    <row r="969">
      <c r="T969" s="109"/>
    </row>
    <row r="970">
      <c r="T970" s="109"/>
    </row>
    <row r="971">
      <c r="T971" s="109"/>
    </row>
    <row r="972">
      <c r="T972" s="109"/>
    </row>
    <row r="973">
      <c r="T973" s="109"/>
    </row>
    <row r="974">
      <c r="T974" s="109"/>
    </row>
    <row r="975">
      <c r="T975" s="109"/>
    </row>
    <row r="976">
      <c r="T976" s="109"/>
    </row>
    <row r="977">
      <c r="T977" s="109"/>
    </row>
    <row r="978">
      <c r="T978" s="109"/>
    </row>
    <row r="979">
      <c r="T979" s="109"/>
    </row>
    <row r="980">
      <c r="T980" s="109"/>
    </row>
    <row r="981">
      <c r="T981" s="109"/>
    </row>
    <row r="982">
      <c r="T982" s="109"/>
    </row>
    <row r="983">
      <c r="T983" s="109"/>
    </row>
    <row r="984">
      <c r="T984" s="109"/>
    </row>
    <row r="985">
      <c r="T985" s="109"/>
    </row>
    <row r="986">
      <c r="T986" s="109"/>
    </row>
    <row r="987">
      <c r="T987" s="109"/>
    </row>
    <row r="988">
      <c r="T988" s="109"/>
    </row>
    <row r="989">
      <c r="T989" s="109"/>
    </row>
    <row r="990">
      <c r="T990" s="109"/>
    </row>
    <row r="991">
      <c r="T991" s="109"/>
    </row>
    <row r="992">
      <c r="T992" s="109"/>
    </row>
    <row r="993">
      <c r="T993" s="109"/>
    </row>
    <row r="994">
      <c r="T994" s="109"/>
    </row>
    <row r="995">
      <c r="T995" s="109"/>
    </row>
    <row r="996">
      <c r="T996" s="109"/>
    </row>
    <row r="997">
      <c r="T997" s="109"/>
    </row>
    <row r="998">
      <c r="T998" s="109"/>
    </row>
    <row r="999">
      <c r="T999" s="109"/>
    </row>
    <row r="1000">
      <c r="T1000" s="10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495</v>
      </c>
    </row>
    <row r="2">
      <c r="A2" s="31" t="s">
        <v>498</v>
      </c>
    </row>
    <row r="3">
      <c r="A3" s="31" t="s">
        <v>500</v>
      </c>
    </row>
    <row r="4">
      <c r="A4" s="31" t="s">
        <v>502</v>
      </c>
    </row>
    <row r="5">
      <c r="A5" s="31" t="s">
        <v>505</v>
      </c>
    </row>
    <row r="6">
      <c r="A6" s="31" t="s">
        <v>507</v>
      </c>
    </row>
    <row r="7">
      <c r="A7" s="31" t="s">
        <v>510</v>
      </c>
    </row>
    <row r="8">
      <c r="A8" s="31" t="s">
        <v>512</v>
      </c>
    </row>
    <row r="9">
      <c r="A9" s="31" t="s">
        <v>514</v>
      </c>
    </row>
    <row r="10">
      <c r="A10" s="31" t="s">
        <v>515</v>
      </c>
    </row>
    <row r="11">
      <c r="A11" s="31" t="s">
        <v>516</v>
      </c>
    </row>
    <row r="12">
      <c r="A12" s="31" t="s">
        <v>517</v>
      </c>
    </row>
    <row r="13">
      <c r="A13" s="31" t="s">
        <v>518</v>
      </c>
    </row>
    <row r="14">
      <c r="A14" s="31" t="s">
        <v>519</v>
      </c>
    </row>
    <row r="15">
      <c r="A15" s="31" t="s">
        <v>520</v>
      </c>
    </row>
    <row r="16">
      <c r="A16" s="31" t="s">
        <v>521</v>
      </c>
    </row>
    <row r="17">
      <c r="A17" s="31" t="s">
        <v>522</v>
      </c>
    </row>
    <row r="18">
      <c r="A18" s="31" t="s">
        <v>523</v>
      </c>
    </row>
    <row r="19">
      <c r="A19" s="31" t="s">
        <v>524</v>
      </c>
    </row>
    <row r="20">
      <c r="A20" s="31" t="s">
        <v>525</v>
      </c>
    </row>
    <row r="21">
      <c r="A21" s="31" t="s">
        <v>526</v>
      </c>
    </row>
    <row r="22">
      <c r="A22" s="31" t="s">
        <v>527</v>
      </c>
    </row>
    <row r="23">
      <c r="A23" s="31" t="s">
        <v>528</v>
      </c>
    </row>
    <row r="24">
      <c r="A24" s="31" t="s">
        <v>529</v>
      </c>
    </row>
    <row r="25">
      <c r="A25" s="31" t="s">
        <v>530</v>
      </c>
    </row>
  </sheetData>
  <drawing r:id="rId1"/>
</worksheet>
</file>